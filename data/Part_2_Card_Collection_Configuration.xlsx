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yr/Documents/GitHub/RealPlay/data/"/>
    </mc:Choice>
  </mc:AlternateContent>
  <xr:revisionPtr revIDLastSave="0" documentId="13_ncr:1_{0D618F49-09E8-FC4D-A568-B4E698D53D34}" xr6:coauthVersionLast="47" xr6:coauthVersionMax="47" xr10:uidLastSave="{00000000-0000-0000-0000-000000000000}"/>
  <bookViews>
    <workbookView xWindow="6880" yWindow="660" windowWidth="22520" windowHeight="16860" activeTab="4" xr2:uid="{51658058-8315-A640-B733-1DFC39D6EEC8}"/>
  </bookViews>
  <sheets>
    <sheet name="Overview" sheetId="3" r:id="rId1"/>
    <sheet name="__bpstmp_kmrb66_1" sheetId="2" state="veryHidden" r:id="rId2"/>
    <sheet name="Rarity_Config" sheetId="4" r:id="rId3"/>
    <sheet name="Card_List" sheetId="5" r:id="rId4"/>
    <sheet name="Pack_Config" sheetId="6" r:id="rId5"/>
  </sheets>
  <externalReferences>
    <externalReference r:id="rId6"/>
  </externalReferences>
  <definedNames>
    <definedName name="NumberOfSets">[1]Overview!$B$5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6" l="1"/>
  <c r="G15" i="6"/>
  <c r="G14" i="6"/>
  <c r="B16" i="6"/>
  <c r="A16" i="6"/>
  <c r="B15" i="6"/>
  <c r="A15" i="6"/>
  <c r="B14" i="6"/>
  <c r="A14" i="6"/>
  <c r="B4" i="6"/>
  <c r="C16" i="6" s="1"/>
  <c r="H14" i="6" s="1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6" i="4"/>
  <c r="C6" i="4"/>
  <c r="F6" i="4" s="1"/>
  <c r="G6" i="4" s="1"/>
  <c r="E5" i="4"/>
  <c r="C5" i="4"/>
  <c r="F81" i="5" s="1"/>
  <c r="G81" i="5" s="1"/>
  <c r="H81" i="5" s="1"/>
  <c r="I81" i="5" s="1"/>
  <c r="E4" i="4"/>
  <c r="C4" i="4"/>
  <c r="F4" i="4" s="1"/>
  <c r="G4" i="4" s="1"/>
  <c r="D7" i="4"/>
  <c r="B7" i="3"/>
  <c r="F38" i="5" l="1"/>
  <c r="G38" i="5" s="1"/>
  <c r="H38" i="5" s="1"/>
  <c r="I38" i="5" s="1"/>
  <c r="F10" i="5"/>
  <c r="G10" i="5" s="1"/>
  <c r="H10" i="5" s="1"/>
  <c r="I10" i="5" s="1"/>
  <c r="F30" i="5"/>
  <c r="G30" i="5" s="1"/>
  <c r="H30" i="5" s="1"/>
  <c r="I30" i="5" s="1"/>
  <c r="F37" i="5"/>
  <c r="G37" i="5" s="1"/>
  <c r="H37" i="5" s="1"/>
  <c r="I37" i="5" s="1"/>
  <c r="F5" i="4"/>
  <c r="G5" i="4" s="1"/>
  <c r="F18" i="5"/>
  <c r="G18" i="5" s="1"/>
  <c r="H18" i="5" s="1"/>
  <c r="I18" i="5" s="1"/>
  <c r="F74" i="5"/>
  <c r="G74" i="5" s="1"/>
  <c r="H74" i="5" s="1"/>
  <c r="I74" i="5" s="1"/>
  <c r="F82" i="5"/>
  <c r="G82" i="5" s="1"/>
  <c r="H82" i="5" s="1"/>
  <c r="I82" i="5" s="1"/>
  <c r="F46" i="5"/>
  <c r="G46" i="5" s="1"/>
  <c r="H46" i="5" s="1"/>
  <c r="I46" i="5" s="1"/>
  <c r="F45" i="5"/>
  <c r="G45" i="5" s="1"/>
  <c r="H45" i="5" s="1"/>
  <c r="I45" i="5" s="1"/>
  <c r="F21" i="5"/>
  <c r="G21" i="5" s="1"/>
  <c r="H21" i="5" s="1"/>
  <c r="I21" i="5" s="1"/>
  <c r="F54" i="5"/>
  <c r="G54" i="5" s="1"/>
  <c r="H54" i="5" s="1"/>
  <c r="I54" i="5" s="1"/>
  <c r="F29" i="5"/>
  <c r="G29" i="5" s="1"/>
  <c r="H29" i="5" s="1"/>
  <c r="I29" i="5" s="1"/>
  <c r="F78" i="5"/>
  <c r="G78" i="5" s="1"/>
  <c r="H78" i="5" s="1"/>
  <c r="I78" i="5" s="1"/>
  <c r="D16" i="6"/>
  <c r="F14" i="5"/>
  <c r="G14" i="5" s="1"/>
  <c r="H14" i="5" s="1"/>
  <c r="I14" i="5" s="1"/>
  <c r="F62" i="5"/>
  <c r="G62" i="5" s="1"/>
  <c r="H62" i="5" s="1"/>
  <c r="I62" i="5" s="1"/>
  <c r="F70" i="5"/>
  <c r="G70" i="5" s="1"/>
  <c r="H70" i="5" s="1"/>
  <c r="I70" i="5" s="1"/>
  <c r="F11" i="5"/>
  <c r="G11" i="5" s="1"/>
  <c r="H11" i="5" s="1"/>
  <c r="I11" i="5" s="1"/>
  <c r="F19" i="5"/>
  <c r="G19" i="5" s="1"/>
  <c r="H19" i="5" s="1"/>
  <c r="I19" i="5" s="1"/>
  <c r="F27" i="5"/>
  <c r="G27" i="5" s="1"/>
  <c r="H27" i="5" s="1"/>
  <c r="I27" i="5" s="1"/>
  <c r="F35" i="5"/>
  <c r="G35" i="5" s="1"/>
  <c r="H35" i="5" s="1"/>
  <c r="I35" i="5" s="1"/>
  <c r="F43" i="5"/>
  <c r="G43" i="5" s="1"/>
  <c r="H43" i="5" s="1"/>
  <c r="I43" i="5" s="1"/>
  <c r="F51" i="5"/>
  <c r="G51" i="5" s="1"/>
  <c r="H51" i="5" s="1"/>
  <c r="I51" i="5" s="1"/>
  <c r="F59" i="5"/>
  <c r="G59" i="5" s="1"/>
  <c r="H59" i="5" s="1"/>
  <c r="I59" i="5" s="1"/>
  <c r="F67" i="5"/>
  <c r="G67" i="5" s="1"/>
  <c r="H67" i="5" s="1"/>
  <c r="I67" i="5" s="1"/>
  <c r="F75" i="5"/>
  <c r="G75" i="5" s="1"/>
  <c r="H75" i="5" s="1"/>
  <c r="I75" i="5" s="1"/>
  <c r="F83" i="5"/>
  <c r="G83" i="5" s="1"/>
  <c r="H83" i="5" s="1"/>
  <c r="I83" i="5" s="1"/>
  <c r="E16" i="6"/>
  <c r="F6" i="5"/>
  <c r="G6" i="5" s="1"/>
  <c r="H6" i="5" s="1"/>
  <c r="I6" i="5" s="1"/>
  <c r="F22" i="5"/>
  <c r="G22" i="5" s="1"/>
  <c r="H22" i="5" s="1"/>
  <c r="I22" i="5" s="1"/>
  <c r="F8" i="5"/>
  <c r="G8" i="5" s="1"/>
  <c r="H8" i="5" s="1"/>
  <c r="I8" i="5" s="1"/>
  <c r="F16" i="5"/>
  <c r="G16" i="5" s="1"/>
  <c r="H16" i="5" s="1"/>
  <c r="I16" i="5" s="1"/>
  <c r="F24" i="5"/>
  <c r="G24" i="5" s="1"/>
  <c r="H24" i="5" s="1"/>
  <c r="I24" i="5" s="1"/>
  <c r="F32" i="5"/>
  <c r="G32" i="5" s="1"/>
  <c r="H32" i="5" s="1"/>
  <c r="I32" i="5" s="1"/>
  <c r="F40" i="5"/>
  <c r="G40" i="5" s="1"/>
  <c r="H40" i="5" s="1"/>
  <c r="I40" i="5" s="1"/>
  <c r="F48" i="5"/>
  <c r="G48" i="5" s="1"/>
  <c r="H48" i="5" s="1"/>
  <c r="I48" i="5" s="1"/>
  <c r="F56" i="5"/>
  <c r="G56" i="5" s="1"/>
  <c r="H56" i="5" s="1"/>
  <c r="I56" i="5" s="1"/>
  <c r="F64" i="5"/>
  <c r="G64" i="5" s="1"/>
  <c r="H64" i="5" s="1"/>
  <c r="I64" i="5" s="1"/>
  <c r="F72" i="5"/>
  <c r="G72" i="5" s="1"/>
  <c r="H72" i="5" s="1"/>
  <c r="I72" i="5" s="1"/>
  <c r="F80" i="5"/>
  <c r="G80" i="5" s="1"/>
  <c r="H80" i="5" s="1"/>
  <c r="I80" i="5" s="1"/>
  <c r="C15" i="6"/>
  <c r="H15" i="6" s="1"/>
  <c r="F5" i="5"/>
  <c r="G5" i="5" s="1"/>
  <c r="H5" i="5" s="1"/>
  <c r="I5" i="5" s="1"/>
  <c r="F53" i="5"/>
  <c r="G53" i="5" s="1"/>
  <c r="H53" i="5" s="1"/>
  <c r="I53" i="5" s="1"/>
  <c r="F61" i="5"/>
  <c r="G61" i="5" s="1"/>
  <c r="H61" i="5" s="1"/>
  <c r="I61" i="5" s="1"/>
  <c r="F69" i="5"/>
  <c r="G69" i="5" s="1"/>
  <c r="H69" i="5" s="1"/>
  <c r="I69" i="5" s="1"/>
  <c r="F77" i="5"/>
  <c r="G77" i="5" s="1"/>
  <c r="H77" i="5" s="1"/>
  <c r="I77" i="5" s="1"/>
  <c r="D15" i="6"/>
  <c r="E15" i="6"/>
  <c r="F7" i="5"/>
  <c r="G7" i="5" s="1"/>
  <c r="H7" i="5" s="1"/>
  <c r="I7" i="5" s="1"/>
  <c r="F15" i="5"/>
  <c r="G15" i="5" s="1"/>
  <c r="H15" i="5" s="1"/>
  <c r="I15" i="5" s="1"/>
  <c r="F23" i="5"/>
  <c r="G23" i="5" s="1"/>
  <c r="H23" i="5" s="1"/>
  <c r="I23" i="5" s="1"/>
  <c r="F31" i="5"/>
  <c r="G31" i="5" s="1"/>
  <c r="H31" i="5" s="1"/>
  <c r="I31" i="5" s="1"/>
  <c r="F39" i="5"/>
  <c r="G39" i="5" s="1"/>
  <c r="H39" i="5" s="1"/>
  <c r="I39" i="5" s="1"/>
  <c r="F47" i="5"/>
  <c r="G47" i="5" s="1"/>
  <c r="H47" i="5" s="1"/>
  <c r="I47" i="5" s="1"/>
  <c r="F55" i="5"/>
  <c r="G55" i="5" s="1"/>
  <c r="H55" i="5" s="1"/>
  <c r="I55" i="5" s="1"/>
  <c r="F63" i="5"/>
  <c r="G63" i="5" s="1"/>
  <c r="H63" i="5" s="1"/>
  <c r="I63" i="5" s="1"/>
  <c r="F71" i="5"/>
  <c r="G71" i="5" s="1"/>
  <c r="H71" i="5" s="1"/>
  <c r="I71" i="5" s="1"/>
  <c r="F79" i="5"/>
  <c r="G79" i="5" s="1"/>
  <c r="H79" i="5" s="1"/>
  <c r="I79" i="5" s="1"/>
  <c r="C14" i="6"/>
  <c r="H16" i="6" s="1"/>
  <c r="F58" i="5"/>
  <c r="G58" i="5" s="1"/>
  <c r="H58" i="5" s="1"/>
  <c r="I58" i="5" s="1"/>
  <c r="F4" i="5"/>
  <c r="G4" i="5" s="1"/>
  <c r="H4" i="5" s="1"/>
  <c r="I4" i="5" s="1"/>
  <c r="F12" i="5"/>
  <c r="G12" i="5" s="1"/>
  <c r="H12" i="5" s="1"/>
  <c r="I12" i="5" s="1"/>
  <c r="F20" i="5"/>
  <c r="G20" i="5" s="1"/>
  <c r="H20" i="5" s="1"/>
  <c r="I20" i="5" s="1"/>
  <c r="F28" i="5"/>
  <c r="G28" i="5" s="1"/>
  <c r="H28" i="5" s="1"/>
  <c r="I28" i="5" s="1"/>
  <c r="F36" i="5"/>
  <c r="G36" i="5" s="1"/>
  <c r="H36" i="5" s="1"/>
  <c r="I36" i="5" s="1"/>
  <c r="F44" i="5"/>
  <c r="G44" i="5" s="1"/>
  <c r="H44" i="5" s="1"/>
  <c r="I44" i="5" s="1"/>
  <c r="F52" i="5"/>
  <c r="G52" i="5" s="1"/>
  <c r="H52" i="5" s="1"/>
  <c r="I52" i="5" s="1"/>
  <c r="F60" i="5"/>
  <c r="G60" i="5" s="1"/>
  <c r="H60" i="5" s="1"/>
  <c r="I60" i="5" s="1"/>
  <c r="F68" i="5"/>
  <c r="G68" i="5" s="1"/>
  <c r="H68" i="5" s="1"/>
  <c r="I68" i="5" s="1"/>
  <c r="F76" i="5"/>
  <c r="G76" i="5" s="1"/>
  <c r="H76" i="5" s="1"/>
  <c r="I76" i="5" s="1"/>
  <c r="F84" i="5"/>
  <c r="G84" i="5" s="1"/>
  <c r="H84" i="5" s="1"/>
  <c r="I84" i="5" s="1"/>
  <c r="D14" i="6"/>
  <c r="F13" i="5"/>
  <c r="G13" i="5" s="1"/>
  <c r="H13" i="5" s="1"/>
  <c r="I13" i="5" s="1"/>
  <c r="F26" i="5"/>
  <c r="G26" i="5" s="1"/>
  <c r="H26" i="5" s="1"/>
  <c r="I26" i="5" s="1"/>
  <c r="F34" i="5"/>
  <c r="G34" i="5" s="1"/>
  <c r="H34" i="5" s="1"/>
  <c r="I34" i="5" s="1"/>
  <c r="F42" i="5"/>
  <c r="G42" i="5" s="1"/>
  <c r="H42" i="5" s="1"/>
  <c r="I42" i="5" s="1"/>
  <c r="F50" i="5"/>
  <c r="G50" i="5" s="1"/>
  <c r="H50" i="5" s="1"/>
  <c r="I50" i="5" s="1"/>
  <c r="F66" i="5"/>
  <c r="G66" i="5" s="1"/>
  <c r="H66" i="5" s="1"/>
  <c r="I66" i="5" s="1"/>
  <c r="F9" i="5"/>
  <c r="G9" i="5" s="1"/>
  <c r="H9" i="5" s="1"/>
  <c r="I9" i="5" s="1"/>
  <c r="F17" i="5"/>
  <c r="G17" i="5" s="1"/>
  <c r="H17" i="5" s="1"/>
  <c r="I17" i="5" s="1"/>
  <c r="F25" i="5"/>
  <c r="G25" i="5" s="1"/>
  <c r="H25" i="5" s="1"/>
  <c r="I25" i="5" s="1"/>
  <c r="F33" i="5"/>
  <c r="G33" i="5" s="1"/>
  <c r="H33" i="5" s="1"/>
  <c r="I33" i="5" s="1"/>
  <c r="F41" i="5"/>
  <c r="G41" i="5" s="1"/>
  <c r="H41" i="5" s="1"/>
  <c r="I41" i="5" s="1"/>
  <c r="F49" i="5"/>
  <c r="G49" i="5" s="1"/>
  <c r="H49" i="5" s="1"/>
  <c r="I49" i="5" s="1"/>
  <c r="F57" i="5"/>
  <c r="G57" i="5" s="1"/>
  <c r="H57" i="5" s="1"/>
  <c r="I57" i="5" s="1"/>
  <c r="F65" i="5"/>
  <c r="G65" i="5" s="1"/>
  <c r="H65" i="5" s="1"/>
  <c r="I65" i="5" s="1"/>
  <c r="F73" i="5"/>
  <c r="G73" i="5" s="1"/>
  <c r="H73" i="5" s="1"/>
  <c r="I73" i="5" s="1"/>
  <c r="E14" i="6"/>
  <c r="H4" i="4"/>
  <c r="H6" i="4"/>
  <c r="H5" i="4"/>
  <c r="E7" i="4"/>
  <c r="C7" i="4"/>
</calcChain>
</file>

<file path=xl/sharedStrings.xml><?xml version="1.0" encoding="utf-8"?>
<sst xmlns="http://schemas.openxmlformats.org/spreadsheetml/2006/main" count="329" uniqueCount="157">
  <si>
    <t>Card Collection Configuration</t>
  </si>
  <si>
    <t>Formula-driven configuration for the Card Collection feature</t>
  </si>
  <si>
    <t>Parameter</t>
  </si>
  <si>
    <t>Value</t>
  </si>
  <si>
    <t>Season Length</t>
  </si>
  <si>
    <t>Number of Sets</t>
  </si>
  <si>
    <t>Cards per Set</t>
  </si>
  <si>
    <t>Total Cards</t>
  </si>
  <si>
    <t>Cards per Pack</t>
  </si>
  <si>
    <t>Common Cards per Set</t>
  </si>
  <si>
    <t>Rare Cards per Set</t>
  </si>
  <si>
    <t>Epic Cards per Set</t>
  </si>
  <si>
    <t>Independent Draws</t>
  </si>
  <si>
    <t>Yes</t>
  </si>
  <si>
    <t>Draws With Replacement</t>
  </si>
  <si>
    <t>Duplicates Allowed</t>
  </si>
  <si>
    <t>Allowed</t>
  </si>
  <si>
    <t>Guaranteed Rarity</t>
  </si>
  <si>
    <t>No</t>
  </si>
  <si>
    <t>Duplicate Recycling</t>
  </si>
  <si>
    <t>Model Assumptions</t>
  </si>
  <si>
    <t>• Each draw first selects a rarity according to the configured drop probabilities.</t>
  </si>
  <si>
    <t>• A card is then selected uniformly from all cards within that rarity.</t>
  </si>
  <si>
    <t>• The four draws in a pack are independent and performed with replacement.</t>
  </si>
  <si>
    <t>• Pack earning rate is not modeled; it depends on activity in the core game.</t>
  </si>
  <si>
    <t>• This workbook defines configuration only; completion will be modeled separately.</t>
  </si>
  <si>
    <t>Design Rationale</t>
  </si>
  <si>
    <t>• The 70% Common probability supports fast early progress.</t>
  </si>
  <si>
    <t>• The 25% Rare probability creates a gradual slowdown during the active progression stage.</t>
  </si>
  <si>
    <t>• The 5% Epic probability makes Epic cards the main late-stage bottleneck.</t>
  </si>
  <si>
    <t>• These probabilities are initial assumptions and should later be calibrated through simulation.</t>
  </si>
  <si>
    <t>Rarity Configuration</t>
  </si>
  <si>
    <t>Rarity</t>
  </si>
  <si>
    <t>Drop Probability</t>
  </si>
  <si>
    <t>Expected Cards per Pack</t>
  </si>
  <si>
    <t>Specific Card Probability per Draw</t>
  </si>
  <si>
    <t>Probability of Specific Card Appearing at Least Once per Pack</t>
  </si>
  <si>
    <t>Expected Packs to See a Specific Card Once</t>
  </si>
  <si>
    <t>Design Role</t>
  </si>
  <si>
    <t>Common</t>
  </si>
  <si>
    <t>Supports fast early progress</t>
  </si>
  <si>
    <t>Rare</t>
  </si>
  <si>
    <t>Creates gradual mid-stage slowdown</t>
  </si>
  <si>
    <t>Epic</t>
  </si>
  <si>
    <t>Creates the main late-stage bottleneck</t>
  </si>
  <si>
    <t>Total / Check</t>
  </si>
  <si>
    <t>Target: 81 cards, 100.00%, 4.00 expected cards</t>
  </si>
  <si>
    <t>Card ID</t>
  </si>
  <si>
    <t>Set ID</t>
  </si>
  <si>
    <t>Card Number in Set</t>
  </si>
  <si>
    <t>Rarity Drop Probability</t>
  </si>
  <si>
    <t>Total Cards in Rarity</t>
  </si>
  <si>
    <t>Probability per Draw</t>
  </si>
  <si>
    <t>Probability of Appearing at Least Once per Pack</t>
  </si>
  <si>
    <t>Expected Packs to See Once</t>
  </si>
  <si>
    <t>S1-C1</t>
  </si>
  <si>
    <t>S1</t>
  </si>
  <si>
    <t>S1-C2</t>
  </si>
  <si>
    <t>S1-C3</t>
  </si>
  <si>
    <t>S1-C4</t>
  </si>
  <si>
    <t>S1-C5</t>
  </si>
  <si>
    <t>S1-R1</t>
  </si>
  <si>
    <t>S1-R2</t>
  </si>
  <si>
    <t>S1-R3</t>
  </si>
  <si>
    <t>S1-E1</t>
  </si>
  <si>
    <t>S2-C1</t>
  </si>
  <si>
    <t>S2</t>
  </si>
  <si>
    <t>S2-C2</t>
  </si>
  <si>
    <t>S2-C3</t>
  </si>
  <si>
    <t>S2-C4</t>
  </si>
  <si>
    <t>S2-C5</t>
  </si>
  <si>
    <t>S2-R1</t>
  </si>
  <si>
    <t>S2-R2</t>
  </si>
  <si>
    <t>S2-R3</t>
  </si>
  <si>
    <t>S2-E1</t>
  </si>
  <si>
    <t>S3-C1</t>
  </si>
  <si>
    <t>S3</t>
  </si>
  <si>
    <t>S3-C2</t>
  </si>
  <si>
    <t>S3-C3</t>
  </si>
  <si>
    <t>S3-C4</t>
  </si>
  <si>
    <t>S3-C5</t>
  </si>
  <si>
    <t>S3-R1</t>
  </si>
  <si>
    <t>S3-R2</t>
  </si>
  <si>
    <t>S3-R3</t>
  </si>
  <si>
    <t>S3-E1</t>
  </si>
  <si>
    <t>S4-C1</t>
  </si>
  <si>
    <t>S4</t>
  </si>
  <si>
    <t>S4-C2</t>
  </si>
  <si>
    <t>S4-C3</t>
  </si>
  <si>
    <t>S4-C4</t>
  </si>
  <si>
    <t>S4-C5</t>
  </si>
  <si>
    <t>S4-R1</t>
  </si>
  <si>
    <t>S4-R2</t>
  </si>
  <si>
    <t>S4-R3</t>
  </si>
  <si>
    <t>S4-E1</t>
  </si>
  <si>
    <t>S5-C1</t>
  </si>
  <si>
    <t>S5</t>
  </si>
  <si>
    <t>S5-C2</t>
  </si>
  <si>
    <t>S5-C3</t>
  </si>
  <si>
    <t>S5-C4</t>
  </si>
  <si>
    <t>S5-C5</t>
  </si>
  <si>
    <t>S5-R1</t>
  </si>
  <si>
    <t>S5-R2</t>
  </si>
  <si>
    <t>S5-R3</t>
  </si>
  <si>
    <t>S5-E1</t>
  </si>
  <si>
    <t>S6-C1</t>
  </si>
  <si>
    <t>S6</t>
  </si>
  <si>
    <t>S6-C2</t>
  </si>
  <si>
    <t>S6-C3</t>
  </si>
  <si>
    <t>S6-C4</t>
  </si>
  <si>
    <t>S6-C5</t>
  </si>
  <si>
    <t>S6-R1</t>
  </si>
  <si>
    <t>S6-R2</t>
  </si>
  <si>
    <t>S6-R3</t>
  </si>
  <si>
    <t>S6-E1</t>
  </si>
  <si>
    <t>S7-C1</t>
  </si>
  <si>
    <t>S7</t>
  </si>
  <si>
    <t>S7-C2</t>
  </si>
  <si>
    <t>S7-C3</t>
  </si>
  <si>
    <t>S7-C4</t>
  </si>
  <si>
    <t>S7-C5</t>
  </si>
  <si>
    <t>S7-R1</t>
  </si>
  <si>
    <t>S7-R2</t>
  </si>
  <si>
    <t>S7-R3</t>
  </si>
  <si>
    <t>S7-E1</t>
  </si>
  <si>
    <t>S8-C1</t>
  </si>
  <si>
    <t>S8</t>
  </si>
  <si>
    <t>S8-C2</t>
  </si>
  <si>
    <t>S8-C3</t>
  </si>
  <si>
    <t>S8-C4</t>
  </si>
  <si>
    <t>S8-C5</t>
  </si>
  <si>
    <t>S8-R1</t>
  </si>
  <si>
    <t>S8-R2</t>
  </si>
  <si>
    <t>S8-R3</t>
  </si>
  <si>
    <t>S8-E1</t>
  </si>
  <si>
    <t>S9-C1</t>
  </si>
  <si>
    <t>S9</t>
  </si>
  <si>
    <t>S9-C2</t>
  </si>
  <si>
    <t>S9-C3</t>
  </si>
  <si>
    <t>S9-C4</t>
  </si>
  <si>
    <t>S9-C5</t>
  </si>
  <si>
    <t>S9-R1</t>
  </si>
  <si>
    <t>S9-R2</t>
  </si>
  <si>
    <t>S9-R3</t>
  </si>
  <si>
    <t>S9-E1</t>
  </si>
  <si>
    <t>Pack Configuration</t>
  </si>
  <si>
    <t>Pack-level draw rules and rarity-level expectations.</t>
  </si>
  <si>
    <t>Rarity Selection Method</t>
  </si>
  <si>
    <t>Based on Rarity_Config probabilities</t>
  </si>
  <si>
    <t>Card Selection Within Rarity</t>
  </si>
  <si>
    <t>Uniform</t>
  </si>
  <si>
    <t>Same Card Multiple Times in One Pack</t>
  </si>
  <si>
    <t>Guaranteed Rare or Epic</t>
  </si>
  <si>
    <t>Probability of At Least One Card of This Rarity in a Pack</t>
  </si>
  <si>
    <t>Probability of No Cards of This Rarity in a Pack</t>
  </si>
  <si>
    <t>Card List</t>
  </si>
  <si>
    <t>81 cards across 9 sets; probabilities are linked to Rarity_Config.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</si>
</sst>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rial"/>
      <family val="2"/>
      <scheme val="minor"/>
    </font>
    <font>
      <b/>
      <sz val="16"/>
      <color rgb="FFFFFFFF"/>
      <name val="Aptos"/>
    </font>
    <font>
      <i/>
      <sz val="12"/>
      <color rgb="FF666666"/>
      <name val="Aptos"/>
    </font>
    <font>
      <sz val="12"/>
      <color rgb="FF17365D"/>
      <name val="Arial"/>
      <family val="2"/>
      <scheme val="minor"/>
    </font>
    <font>
      <b/>
      <sz val="12"/>
      <color rgb="FF17365D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5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 style="thin">
        <color rgb="FFB7C9D6"/>
      </top>
      <bottom/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B7C9D6"/>
      </bottom>
      <diagonal/>
    </border>
    <border>
      <left/>
      <right/>
      <top style="medium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4" fillId="3" borderId="2" xfId="0" applyFont="1" applyFill="1" applyBorder="1" applyAlignment="1">
      <alignment horizontal="center"/>
    </xf>
    <xf numFmtId="0" fontId="0" fillId="0" borderId="2" xfId="0" applyBorder="1"/>
    <xf numFmtId="0" fontId="0" fillId="0" borderId="4" xfId="0" applyBorder="1"/>
    <xf numFmtId="1" fontId="0" fillId="4" borderId="2" xfId="0" applyNumberFormat="1" applyFill="1" applyBorder="1" applyAlignment="1">
      <alignment horizontal="right"/>
    </xf>
    <xf numFmtId="1" fontId="0" fillId="4" borderId="0" xfId="0" applyNumberFormat="1" applyFill="1" applyAlignment="1">
      <alignment horizontal="right"/>
    </xf>
    <xf numFmtId="1" fontId="5" fillId="5" borderId="0" xfId="0" applyNumberFormat="1" applyFont="1" applyFill="1" applyAlignment="1">
      <alignment horizontal="right"/>
    </xf>
    <xf numFmtId="0" fontId="0" fillId="4" borderId="0" xfId="0" applyFill="1" applyAlignment="1">
      <alignment horizontal="left"/>
    </xf>
    <xf numFmtId="0" fontId="0" fillId="4" borderId="4" xfId="0" applyFill="1" applyBorder="1" applyAlignment="1">
      <alignment horizontal="left"/>
    </xf>
    <xf numFmtId="0" fontId="4" fillId="3" borderId="5" xfId="0" applyFont="1" applyFill="1" applyBorder="1"/>
    <xf numFmtId="10" fontId="0" fillId="4" borderId="2" xfId="0" applyNumberFormat="1" applyFill="1" applyBorder="1" applyAlignment="1">
      <alignment horizontal="right"/>
    </xf>
    <xf numFmtId="10" fontId="0" fillId="4" borderId="0" xfId="0" applyNumberFormat="1" applyFill="1" applyAlignment="1">
      <alignment horizontal="right"/>
    </xf>
    <xf numFmtId="1" fontId="0" fillId="6" borderId="2" xfId="0" applyNumberFormat="1" applyFill="1" applyBorder="1" applyAlignment="1">
      <alignment horizontal="right"/>
    </xf>
    <xf numFmtId="1" fontId="0" fillId="6" borderId="0" xfId="0" applyNumberFormat="1" applyFill="1" applyAlignment="1">
      <alignment horizontal="right"/>
    </xf>
    <xf numFmtId="2" fontId="0" fillId="5" borderId="2" xfId="0" applyNumberFormat="1" applyFill="1" applyBorder="1" applyAlignment="1">
      <alignment horizontal="right"/>
    </xf>
    <xf numFmtId="2" fontId="0" fillId="5" borderId="0" xfId="0" applyNumberFormat="1" applyFill="1" applyAlignment="1">
      <alignment horizontal="right"/>
    </xf>
    <xf numFmtId="10" fontId="0" fillId="6" borderId="2" xfId="0" applyNumberFormat="1" applyFill="1" applyBorder="1" applyAlignment="1">
      <alignment horizontal="right"/>
    </xf>
    <xf numFmtId="10" fontId="0" fillId="6" borderId="0" xfId="0" applyNumberFormat="1" applyFill="1" applyAlignment="1">
      <alignment horizontal="right"/>
    </xf>
    <xf numFmtId="2" fontId="0" fillId="6" borderId="2" xfId="0" applyNumberFormat="1" applyFill="1" applyBorder="1" applyAlignment="1">
      <alignment horizontal="right"/>
    </xf>
    <xf numFmtId="2" fontId="0" fillId="6" borderId="0" xfId="0" applyNumberFormat="1" applyFill="1" applyAlignment="1">
      <alignment horizontal="right"/>
    </xf>
    <xf numFmtId="0" fontId="5" fillId="5" borderId="6" xfId="0" applyFont="1" applyFill="1" applyBorder="1"/>
    <xf numFmtId="1" fontId="5" fillId="5" borderId="6" xfId="0" applyNumberFormat="1" applyFont="1" applyFill="1" applyBorder="1" applyAlignment="1">
      <alignment horizontal="right"/>
    </xf>
    <xf numFmtId="2" fontId="5" fillId="5" borderId="6" xfId="0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0" fontId="0" fillId="6" borderId="0" xfId="0" applyFill="1" applyAlignment="1">
      <alignment wrapText="1"/>
    </xf>
    <xf numFmtId="0" fontId="0" fillId="6" borderId="5" xfId="0" applyFill="1" applyBorder="1" applyAlignment="1">
      <alignment wrapText="1"/>
    </xf>
    <xf numFmtId="0" fontId="2" fillId="0" borderId="0" xfId="0" applyFont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5" fillId="5" borderId="6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10" fontId="0" fillId="6" borderId="0" xfId="0" applyNumberFormat="1" applyFill="1" applyAlignment="1">
      <alignment horizontal="right" wrapText="1"/>
    </xf>
    <xf numFmtId="2" fontId="0" fillId="6" borderId="0" xfId="0" applyNumberFormat="1" applyFill="1" applyAlignment="1">
      <alignment horizontal="right" wrapText="1"/>
    </xf>
    <xf numFmtId="1" fontId="5" fillId="6" borderId="2" xfId="0" applyNumberFormat="1" applyFont="1" applyFill="1" applyBorder="1" applyAlignment="1">
      <alignment horizontal="right" wrapText="1"/>
    </xf>
    <xf numFmtId="0" fontId="0" fillId="4" borderId="0" xfId="0" applyFill="1" applyAlignment="1">
      <alignment horizontal="left" wrapText="1"/>
    </xf>
    <xf numFmtId="0" fontId="0" fillId="0" borderId="5" xfId="0" applyBorder="1" applyAlignment="1">
      <alignment wrapText="1"/>
    </xf>
    <xf numFmtId="0" fontId="0" fillId="4" borderId="5" xfId="0" applyFill="1" applyBorder="1" applyAlignment="1">
      <alignment horizontal="left" wrapText="1"/>
    </xf>
    <xf numFmtId="0" fontId="0" fillId="6" borderId="2" xfId="0" applyFill="1" applyBorder="1" applyAlignment="1">
      <alignment wrapText="1"/>
    </xf>
    <xf numFmtId="10" fontId="0" fillId="6" borderId="2" xfId="0" applyNumberFormat="1" applyFill="1" applyBorder="1" applyAlignment="1">
      <alignment horizontal="right" wrapText="1"/>
    </xf>
    <xf numFmtId="2" fontId="0" fillId="5" borderId="2" xfId="0" applyNumberFormat="1" applyFill="1" applyBorder="1" applyAlignment="1">
      <alignment horizontal="right" wrapText="1"/>
    </xf>
    <xf numFmtId="2" fontId="0" fillId="5" borderId="0" xfId="0" applyNumberFormat="1" applyFill="1" applyAlignment="1">
      <alignment horizontal="right" wrapText="1"/>
    </xf>
    <xf numFmtId="10" fontId="0" fillId="6" borderId="5" xfId="0" applyNumberFormat="1" applyFill="1" applyBorder="1" applyAlignment="1">
      <alignment horizontal="right" wrapText="1"/>
    </xf>
    <xf numFmtId="2" fontId="0" fillId="5" borderId="5" xfId="0" applyNumberFormat="1" applyFill="1" applyBorder="1" applyAlignment="1">
      <alignment horizontal="right" wrapText="1"/>
    </xf>
    <xf numFmtId="2" fontId="0" fillId="6" borderId="2" xfId="0" applyNumberFormat="1" applyFill="1" applyBorder="1" applyAlignment="1">
      <alignment horizontal="right" wrapText="1"/>
    </xf>
    <xf numFmtId="2" fontId="0" fillId="6" borderId="5" xfId="0" applyNumberFormat="1" applyFill="1" applyBorder="1" applyAlignment="1">
      <alignment horizontal="right" wrapText="1"/>
    </xf>
    <xf numFmtId="0" fontId="2" fillId="7" borderId="0" xfId="0" applyFont="1" applyFill="1"/>
    <xf numFmtId="0" fontId="0" fillId="7" borderId="0" xfId="0" applyFill="1"/>
    <xf numFmtId="0" fontId="3" fillId="0" borderId="0" xfId="0" applyFont="1"/>
    <xf numFmtId="0" fontId="6" fillId="2" borderId="0" xfId="0" applyFont="1" applyFill="1"/>
    <xf numFmtId="0" fontId="1" fillId="2" borderId="1" xfId="0" applyFont="1" applyFill="1" applyBorder="1"/>
    <xf numFmtId="0" fontId="6" fillId="2" borderId="1" xfId="0" applyFont="1" applyFill="1" applyBorder="1"/>
  </cellXfs>
  <cellStyles count="1">
    <cellStyle name="Normal" xfId="0" builtinId="0"/>
  </cellStyles>
  <dxfs count="48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2F2"/>
        </patternFill>
      </fill>
      <alignment horizontal="right" wrapText="1"/>
    </dxf>
    <dxf>
      <fill>
        <patternFill patternType="solid">
          <fgColor indexed="64"/>
          <bgColor rgb="FFF2F2F2"/>
        </patternFill>
      </fill>
      <alignment horizontal="right" wrapText="1"/>
    </dxf>
    <dxf>
      <fill>
        <patternFill patternType="solid">
          <fgColor indexed="64"/>
          <bgColor rgb="FFF2F2F2"/>
        </patternFill>
      </fill>
      <alignment horizontal="right"/>
    </dxf>
    <dxf>
      <fill>
        <patternFill patternType="solid">
          <fgColor indexed="64"/>
          <bgColor rgb="FFF2F2F2"/>
        </patternFill>
      </fill>
      <alignment horizontal="right"/>
    </dxf>
    <dxf>
      <fill>
        <patternFill patternType="solid">
          <fgColor indexed="64"/>
          <bgColor rgb="FFF2F2F2"/>
        </patternFill>
      </fill>
      <alignment horizontal="right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border>
        <bottom style="thin">
          <color rgb="FFB7C9D6"/>
        </bottom>
      </border>
    </dxf>
    <dxf>
      <font>
        <b/>
        <color rgb="FF17365D"/>
      </font>
      <fill>
        <patternFill patternType="solid">
          <fgColor indexed="64"/>
          <bgColor rgb="FFD9EAF7"/>
        </patternFill>
      </fill>
      <alignment horizontal="center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rgb="FFE2F0D9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medium">
          <color rgb="FFB7C9D6"/>
        </top>
        <bottom style="thin">
          <color rgb="FFB7C9D6"/>
        </bottom>
      </border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rgb="FFE2F0D9"/>
        </patternFill>
      </fill>
      <border diagonalUp="0" diagonalDown="0" outline="0">
        <left/>
        <right/>
        <top style="medium">
          <color rgb="FFB7C9D6"/>
        </top>
        <bottom style="thin">
          <color rgb="FFB7C9D6"/>
        </bottom>
      </border>
    </dxf>
    <dxf>
      <fill>
        <patternFill patternType="solid">
          <fgColor indexed="64"/>
          <bgColor rgb="FFF2F2F2"/>
        </patternFill>
      </fill>
      <alignment horizontal="righ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rgb="FFE2F0D9"/>
        </patternFill>
      </fill>
      <border diagonalUp="0" diagonalDown="0" outline="0">
        <left/>
        <right/>
        <top style="medium">
          <color rgb="FFB7C9D6"/>
        </top>
        <bottom style="thin">
          <color rgb="FFB7C9D6"/>
        </bottom>
      </border>
    </dxf>
    <dxf>
      <numFmt numFmtId="0" formatCode="General"/>
      <fill>
        <patternFill patternType="solid">
          <fgColor indexed="64"/>
          <bgColor rgb="FFF2F2F2"/>
        </patternFill>
      </fill>
      <alignment horizontal="righ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rgb="FFE2F0D9"/>
        </patternFill>
      </fill>
      <border diagonalUp="0" diagonalDown="0" outline="0">
        <left/>
        <right/>
        <top style="medium">
          <color rgb="FFB7C9D6"/>
        </top>
        <bottom style="thin">
          <color rgb="FFB7C9D6"/>
        </bottom>
      </border>
    </dxf>
    <dxf>
      <fill>
        <patternFill patternType="solid">
          <fgColor indexed="64"/>
          <bgColor rgb="FFF2F2F2"/>
        </patternFill>
      </fill>
      <alignment horizontal="righ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rgb="FFE2F0D9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medium">
          <color rgb="FFB7C9D6"/>
        </top>
        <bottom style="thin">
          <color rgb="FFB7C9D6"/>
        </bottom>
      </border>
    </dxf>
    <dxf>
      <numFmt numFmtId="0" formatCode="General"/>
      <fill>
        <patternFill patternType="solid">
          <fgColor indexed="64"/>
          <bgColor rgb="FFE2F0D9"/>
        </patternFill>
      </fill>
      <alignment horizontal="righ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rgb="FFE2F0D9"/>
        </patternFill>
      </fill>
      <border diagonalUp="0" diagonalDown="0" outline="0">
        <left/>
        <right/>
        <top style="medium">
          <color rgb="FFB7C9D6"/>
        </top>
        <bottom style="thin">
          <color rgb="FFB7C9D6"/>
        </bottom>
      </border>
    </dxf>
    <dxf>
      <fill>
        <patternFill patternType="solid">
          <fgColor indexed="64"/>
          <bgColor rgb="FFFFF2CC"/>
        </patternFill>
      </fill>
      <alignment horizontal="righ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" formatCode="0"/>
      <fill>
        <patternFill patternType="solid">
          <fgColor indexed="64"/>
          <bgColor rgb="FFE2F0D9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medium">
          <color rgb="FFB7C9D6"/>
        </top>
        <bottom style="thin">
          <color rgb="FFB7C9D6"/>
        </bottom>
      </border>
    </dxf>
    <dxf>
      <numFmt numFmtId="0" formatCode="General"/>
      <fill>
        <patternFill patternType="solid">
          <fgColor indexed="64"/>
          <bgColor rgb="FFF2F2F2"/>
        </patternFill>
      </fill>
      <alignment horizontal="righ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rgb="FFE2F0D9"/>
        </patternFill>
      </fill>
      <border diagonalUp="0" diagonalDown="0" outline="0">
        <left/>
        <right/>
        <top style="medium">
          <color rgb="FFB7C9D6"/>
        </top>
        <bottom style="thin">
          <color rgb="FFB7C9D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rgb="FFE2F0D9"/>
        </patternFill>
      </fill>
      <border diagonalUp="0" diagonalDown="0" outline="0">
        <left/>
        <right/>
        <top style="medium">
          <color rgb="FFB7C9D6"/>
        </top>
        <bottom style="thin">
          <color rgb="FFB7C9D6"/>
        </bottom>
      </border>
    </dxf>
    <dxf>
      <border>
        <top style="medium">
          <color rgb="FFB7C9D6"/>
        </top>
      </border>
    </dxf>
    <dxf>
      <font>
        <b/>
      </font>
      <fill>
        <patternFill patternType="solid">
          <fgColor indexed="64"/>
          <bgColor rgb="FFE2F0D9"/>
        </patternFill>
      </fill>
    </dxf>
    <dxf>
      <border>
        <bottom style="thin">
          <color rgb="FFB7C9D6"/>
        </bottom>
      </border>
    </dxf>
    <dxf>
      <font>
        <b/>
        <color rgb="FF17365D"/>
      </font>
      <fill>
        <patternFill patternType="solid">
          <fgColor indexed="64"/>
          <bgColor rgb="FFD9EAF7"/>
        </patternFill>
      </fill>
      <alignment horizontal="center" wrapText="1"/>
    </dxf>
    <dxf>
      <border>
        <bottom style="thin">
          <color rgb="FFB7C9D6"/>
        </bottom>
      </border>
    </dxf>
    <dxf>
      <font>
        <b/>
        <color rgb="FF17365D"/>
      </font>
      <fill>
        <patternFill patternType="solid">
          <fgColor indexed="64"/>
          <bgColor rgb="FFD9EAF7"/>
        </patternFill>
      </fill>
      <alignment horizontal="center"/>
    </dxf>
    <dxf>
      <fill>
        <patternFill patternType="solid">
          <fgColor indexed="64"/>
          <bgColor rgb="FFF2F2F2"/>
        </patternFill>
      </fill>
      <alignment horizontal="right" wrapText="1"/>
    </dxf>
    <dxf>
      <fill>
        <patternFill patternType="solid">
          <fgColor indexed="64"/>
          <bgColor rgb="FFF2F2F2"/>
        </patternFill>
      </fill>
      <alignment horizontal="right" wrapText="1"/>
    </dxf>
    <dxf>
      <fill>
        <patternFill patternType="solid">
          <fgColor indexed="64"/>
          <bgColor rgb="FFE2F0D9"/>
        </patternFill>
      </fill>
      <alignment horizontal="right" wrapText="1"/>
    </dxf>
    <dxf>
      <fill>
        <patternFill patternType="solid">
          <fgColor indexed="64"/>
          <bgColor rgb="FFF2F2F2"/>
        </patternFill>
      </fill>
      <alignment horizontal="right" wrapText="1"/>
    </dxf>
    <dxf>
      <fill>
        <patternFill patternType="solid">
          <fgColor indexed="64"/>
          <bgColor rgb="FFF2F2F2"/>
        </patternFill>
      </fill>
      <alignment wrapText="1"/>
    </dxf>
    <dxf>
      <fill>
        <patternFill patternType="solid">
          <fgColor indexed="64"/>
          <bgColor rgb="FFF2F2F2"/>
        </patternFill>
      </fill>
      <alignment wrapText="1"/>
    </dxf>
    <dxf>
      <border>
        <bottom style="thin">
          <color rgb="FFB7C9D6"/>
        </bottom>
      </border>
    </dxf>
    <dxf>
      <font>
        <b/>
        <color rgb="FF17365D"/>
      </font>
      <fill>
        <patternFill patternType="solid">
          <fgColor indexed="64"/>
          <bgColor rgb="FFD9EAF7"/>
        </patternFill>
      </fill>
      <alignment horizontal="center" wrapText="1"/>
    </dxf>
    <dxf>
      <alignment wrapText="1"/>
    </dxf>
    <dxf>
      <alignment wrapText="1"/>
    </dxf>
    <dxf>
      <alignment wrapText="1"/>
    </dxf>
    <dxf>
      <border>
        <bottom style="thin">
          <color rgb="FFB7C9D6"/>
        </bottom>
      </border>
    </dxf>
    <dxf>
      <font>
        <b/>
        <color rgb="FF17365D"/>
      </font>
      <fill>
        <patternFill patternType="solid">
          <fgColor indexed="64"/>
          <bgColor rgb="FFD9EAF7"/>
        </patternFill>
      </fill>
      <alignment horizontal="center" wrapText="1"/>
    </dxf>
  </dxfs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Expected Cards per Pack by Rarity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Pack_Config!$H$13</c:f>
              <c:strCache>
                <c:ptCount val="1"/>
                <c:pt idx="0">
                  <c:v>Expected Cards per 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Pack_Config!$G$14:$G$16</c:f>
              <c:strCache>
                <c:ptCount val="3"/>
                <c:pt idx="0">
                  <c:v>Epic</c:v>
                </c:pt>
                <c:pt idx="1">
                  <c:v>Rare</c:v>
                </c:pt>
                <c:pt idx="2">
                  <c:v>Common</c:v>
                </c:pt>
              </c:strCache>
            </c:strRef>
          </c:cat>
          <c:val>
            <c:numRef>
              <c:f>Pack_Config!$H$14:$H$16</c:f>
              <c:numCache>
                <c:formatCode>0.00</c:formatCode>
                <c:ptCount val="3"/>
                <c:pt idx="0">
                  <c:v>0.2</c:v>
                </c:pt>
                <c:pt idx="1">
                  <c:v>1</c:v>
                </c:pt>
                <c:pt idx="2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7-DD4B-8B06-C0E93FD70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99553024"/>
        <c:axId val="1820549440"/>
      </c:barChart>
      <c:catAx>
        <c:axId val="1799553024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"/>
                  <a:t>Rarity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820549440"/>
        <c:crosses val="autoZero"/>
        <c:auto val="1"/>
        <c:lblAlgn val="ctr"/>
        <c:lblOffset val="100"/>
        <c:noMultiLvlLbl val="0"/>
      </c:catAx>
      <c:valAx>
        <c:axId val="182054944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"/>
                  <a:t>Expected Cards per Pack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79955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2" name="chtExpectedCardsPerPack">
          <a:extLst>
            <a:ext uri="{FF2B5EF4-FFF2-40B4-BE49-F238E27FC236}">
              <a16:creationId xmlns:a16="http://schemas.microsoft.com/office/drawing/2014/main" id="{553E3947-7A67-8D40-1DC3-F6E9C58B6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349E22-6F26-034A-BCF2-D36970B02080}" name="tblOverviewParameters" displayName="tblOverviewParameters" ref="A3:B16" totalsRowShown="0" headerRowDxfId="34" headerRowBorderDxfId="33">
  <autoFilter ref="A3:B16" xr:uid="{3E349E22-6F26-034A-BCF2-D36970B02080}"/>
  <tableColumns count="2">
    <tableColumn id="1" xr3:uid="{BFA0712D-C2DB-FF46-8C94-A709FA592278}" name="Parameter"/>
    <tableColumn id="2" xr3:uid="{CB9CC157-3120-9743-9E90-A73C77C3577A}" name="Valu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E409C-D9D6-D741-8684-E14CCE8EF45E}" name="tblRarityConfig" displayName="tblRarityConfig" ref="A3:I7" totalsRowCount="1" headerRowDxfId="32" totalsRowDxfId="30" headerRowBorderDxfId="31" totalsRowBorderDxfId="29">
  <autoFilter ref="A3:I6" xr:uid="{C8AE409C-D9D6-D741-8684-E14CCE8EF45E}"/>
  <tableColumns count="9">
    <tableColumn id="1" xr3:uid="{DC0A190D-1AF8-9844-8648-57182BDC4FA8}" name="Rarity" totalsRowLabel="Total / Check" totalsRowDxfId="28"/>
    <tableColumn id="2" xr3:uid="{54194904-1BA1-1E4C-AF8D-B1870EC24B1B}" name="Cards per Set" totalsRowDxfId="27"/>
    <tableColumn id="3" xr3:uid="{1A021D31-2829-CF40-A307-694F952CAD97}" name="Total Cards" totalsRowFunction="custom" dataDxfId="26" totalsRowDxfId="25">
      <calculatedColumnFormula>B4*INDEX(tblOverviewParameters[Value],MATCH("Number of Sets",tblOverviewParameters[Parameter],0))</calculatedColumnFormula>
      <totalsRowFormula>SUM(C4:C6)</totalsRowFormula>
    </tableColumn>
    <tableColumn id="4" xr3:uid="{3B9B4D7B-2F46-8E4D-975D-BAB24D9D0448}" name="Drop Probability" totalsRowFunction="custom" dataDxfId="24" totalsRowDxfId="23">
      <totalsRowFormula>SUM(D4:D6)</totalsRowFormula>
    </tableColumn>
    <tableColumn id="5" xr3:uid="{68F50861-C4AC-6F44-9A6E-C75581EC16E3}" name="Expected Cards per Pack" totalsRowFunction="custom" dataDxfId="22" totalsRowDxfId="21">
      <calculatedColumnFormula>D4*INDEX(tblOverviewParameters[Value],MATCH("Cards per Pack",tblOverviewParameters[Parameter],0))</calculatedColumnFormula>
      <totalsRowFormula>SUM(E4:E6)</totalsRowFormula>
    </tableColumn>
    <tableColumn id="6" xr3:uid="{8BB93F52-A5CB-D444-AA4B-BEDF9CD630BD}" name="Specific Card Probability per Draw" dataDxfId="20" totalsRowDxfId="19">
      <calculatedColumnFormula>D4/C4</calculatedColumnFormula>
    </tableColumn>
    <tableColumn id="7" xr3:uid="{898BEFEB-F346-754C-89A7-978B1042970E}" name="Probability of Specific Card Appearing at Least Once per Pack" dataDxfId="18" totalsRowDxfId="17">
      <calculatedColumnFormula>1-(1-F4)^INDEX(tblOverviewParameters[Value],MATCH("Cards per Pack",tblOverviewParameters[Parameter],0))</calculatedColumnFormula>
    </tableColumn>
    <tableColumn id="8" xr3:uid="{33D30945-3E12-454B-8162-4328CB4C5936}" name="Expected Packs to See a Specific Card Once" dataDxfId="16" totalsRowDxfId="15">
      <calculatedColumnFormula>1/G4</calculatedColumnFormula>
    </tableColumn>
    <tableColumn id="9" xr3:uid="{89E9D9BB-B55D-B647-AF46-35EFBF25748B}" name="Design Role" totalsRowLabel="Target: 81 cards, 100.00%, 4.00 expected cards" dataDxfId="14" totalsRowDxfId="1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217531-6717-7E48-9243-674C9E535C02}" name="tblCardList" displayName="tblCardList" ref="A3:I84" totalsRowShown="0" headerRowDxfId="12" headerRowBorderDxfId="11">
  <autoFilter ref="A3:I84" xr:uid="{AC217531-6717-7E48-9243-674C9E535C02}"/>
  <tableColumns count="9">
    <tableColumn id="1" xr3:uid="{570D270A-DC6A-2F41-B66F-0A170694B863}" name="Card ID" dataDxfId="10"/>
    <tableColumn id="2" xr3:uid="{07479C32-A18C-A440-AD2B-AF119D8072EA}" name="Set ID" dataDxfId="9"/>
    <tableColumn id="3" xr3:uid="{B5671016-CDAA-BC4C-A9B5-24F29958DF2E}" name="Card Number in Set" dataDxfId="8"/>
    <tableColumn id="4" xr3:uid="{52ADD8F7-64AD-134C-AFD3-E60471FA97F7}" name="Rarity" dataDxfId="7"/>
    <tableColumn id="5" xr3:uid="{83BD992B-81E9-E74E-B01B-F30D81AAAD3B}" name="Rarity Drop Probability" dataDxfId="6">
      <calculatedColumnFormula>INDEX(tblRarityConfig[Drop Probability],MATCH($D4,tblRarityConfig[Rarity],0))</calculatedColumnFormula>
    </tableColumn>
    <tableColumn id="6" xr3:uid="{0BB4898D-5E79-524A-B660-5B862318ADF2}" name="Total Cards in Rarity" dataDxfId="5">
      <calculatedColumnFormula>INDEX(tblRarityConfig[Total Cards],MATCH($D4,tblRarityConfig[Rarity],0))</calculatedColumnFormula>
    </tableColumn>
    <tableColumn id="7" xr3:uid="{FBFB39FB-9851-434D-9885-70E5404EC6A3}" name="Probability per Draw" dataDxfId="4">
      <calculatedColumnFormula>E4/F4</calculatedColumnFormula>
    </tableColumn>
    <tableColumn id="8" xr3:uid="{1723975F-0CB2-2745-989F-89AEC1C4529D}" name="Probability of Appearing at Least Once per Pack" dataDxfId="3">
      <calculatedColumnFormula>1-(1-G4)^INDEX(tblOverviewParameters[Value],MATCH("Cards per Pack",tblOverviewParameters[Parameter],0))</calculatedColumnFormula>
    </tableColumn>
    <tableColumn id="9" xr3:uid="{E83D1A31-0AD4-BD4A-9E38-E01DF0646BAA}" name="Expected Packs to See Once" dataDxfId="2">
      <calculatedColumnFormula>1/H4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C9C3F6-E259-1A41-A39F-78474E362EF3}" name="tblPackConfig" displayName="tblPackConfig" ref="A3:B10" totalsRowShown="0" headerRowDxfId="47" dataDxfId="45" headerRowBorderDxfId="46">
  <autoFilter ref="A3:B10" xr:uid="{3CC9C3F6-E259-1A41-A39F-78474E362EF3}"/>
  <tableColumns count="2">
    <tableColumn id="1" xr3:uid="{4861FBAC-6CE9-BF42-B224-0D35A5C16203}" name="Parameter" dataDxfId="44"/>
    <tableColumn id="2" xr3:uid="{103D7524-BBFB-A64A-A083-A031C00F8794}" name="Value" dataDxfId="4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61019D-0BBB-FB47-B92B-E085F9CAE8D3}" name="tblPackSummary" displayName="tblPackSummary" ref="A13:E16" totalsRowShown="0" headerRowDxfId="42" dataDxfId="40" headerRowBorderDxfId="41">
  <autoFilter ref="A13:E16" xr:uid="{3661019D-0BBB-FB47-B92B-E085F9CAE8D3}"/>
  <tableColumns count="5">
    <tableColumn id="1" xr3:uid="{4B434BF1-0023-5C4B-8009-B0D370FE4652}" name="Rarity" dataDxfId="39"/>
    <tableColumn id="2" xr3:uid="{10359481-3657-6544-8235-DB43A76A3BA7}" name="Probability per Draw" dataDxfId="38"/>
    <tableColumn id="3" xr3:uid="{E914C20E-2704-484B-A59D-56728F7C14D4}" name="Expected Cards per Pack" dataDxfId="37">
      <calculatedColumnFormula>B14*$B$4</calculatedColumnFormula>
    </tableColumn>
    <tableColumn id="4" xr3:uid="{4791411A-B1B9-A549-83B6-D54346F7559E}" name="Probability of At Least One Card of This Rarity in a Pack" dataDxfId="36">
      <calculatedColumnFormula>1-(1-B14)^$B$4</calculatedColumnFormula>
    </tableColumn>
    <tableColumn id="5" xr3:uid="{3411A6DF-09D2-6042-8301-20BA4222EC71}" name="Probability of No Cards of This Rarity in a Pack" dataDxfId="35">
      <calculatedColumnFormula>(1-B14)^$B$4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left" visibility="1" width="350" row="1">
    <wetp:webextensionref xmlns:r="http://schemas.openxmlformats.org/officeDocument/2006/relationships" r:id="rId1"/>
  </wetp:taskpane>
  <wetp:taskpane dockstate="lef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a56b5c2-a446-42b4-ba93-755a0782456b}">
  <we:reference id="WA200010215" version="2.0.0.0" store="he-IL" storeType="OMEX"/>
  <we:alternateReferences/>
  <we:properties>
    <we:property name="Microsoft.Office.CampaignId" value="&quot;none&quot;"/>
    <we:property name="bps.codex_control.document_id" value="&quot;5ca8f80d-ede4-4cff-b62a-a909d3f6b001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884004B-8F61-F148-8A77-96116BD02817}">
  <we:reference id="wa200009404" version="1.0.0.8" store="he-IL" storeType="OMEX"/>
  <we:alternateReferences>
    <we:reference id="WA200009404" version="1.0.0.8" store="" storeType="OMEX"/>
  </we:alternateReferences>
  <we:properties>
    <we:property name="claude.fileId" value="&quot;cbd3be87-5da3-40bb-9c58-6a987861d9b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C4AB-009F-A749-92A8-4AB8B7EAB78E}">
  <dimension ref="A1:C34"/>
  <sheetViews>
    <sheetView showGridLines="0" rightToLeft="1" zoomScale="125" workbookViewId="0">
      <selection activeCell="C37" sqref="C37"/>
    </sheetView>
  </sheetViews>
  <sheetFormatPr baseColWidth="10" defaultRowHeight="16" x14ac:dyDescent="0.2"/>
  <cols>
    <col min="1" max="1" width="35.7109375" customWidth="1"/>
    <col min="2" max="2" width="25.7109375" customWidth="1"/>
    <col min="3" max="3" width="27.140625" customWidth="1"/>
  </cols>
  <sheetData>
    <row r="1" spans="1:3" ht="26" customHeight="1" thickBot="1" x14ac:dyDescent="0.35">
      <c r="A1" s="50" t="s">
        <v>0</v>
      </c>
      <c r="B1" s="50"/>
      <c r="C1" s="50"/>
    </row>
    <row r="2" spans="1:3" ht="24" customHeight="1" x14ac:dyDescent="0.2">
      <c r="A2" s="1" t="s">
        <v>1</v>
      </c>
      <c r="B2" s="1"/>
      <c r="C2" s="1"/>
    </row>
    <row r="3" spans="1:3" x14ac:dyDescent="0.2">
      <c r="A3" s="2" t="s">
        <v>2</v>
      </c>
      <c r="B3" s="2" t="s">
        <v>3</v>
      </c>
    </row>
    <row r="4" spans="1:3" x14ac:dyDescent="0.2">
      <c r="A4" s="3" t="s">
        <v>4</v>
      </c>
      <c r="B4" s="5">
        <v>7</v>
      </c>
    </row>
    <row r="5" spans="1:3" x14ac:dyDescent="0.2">
      <c r="A5" t="s">
        <v>5</v>
      </c>
      <c r="B5" s="6">
        <v>9</v>
      </c>
    </row>
    <row r="6" spans="1:3" x14ac:dyDescent="0.2">
      <c r="A6" t="s">
        <v>6</v>
      </c>
      <c r="B6" s="6">
        <v>9</v>
      </c>
    </row>
    <row r="7" spans="1:3" x14ac:dyDescent="0.2">
      <c r="A7" t="s">
        <v>7</v>
      </c>
      <c r="B7" s="7">
        <f>B5*B6</f>
        <v>81</v>
      </c>
    </row>
    <row r="8" spans="1:3" x14ac:dyDescent="0.2">
      <c r="A8" t="s">
        <v>8</v>
      </c>
      <c r="B8" s="6">
        <v>4</v>
      </c>
    </row>
    <row r="9" spans="1:3" x14ac:dyDescent="0.2">
      <c r="A9" t="s">
        <v>9</v>
      </c>
      <c r="B9" s="6">
        <v>5</v>
      </c>
    </row>
    <row r="10" spans="1:3" x14ac:dyDescent="0.2">
      <c r="A10" t="s">
        <v>10</v>
      </c>
      <c r="B10" s="6">
        <v>3</v>
      </c>
    </row>
    <row r="11" spans="1:3" x14ac:dyDescent="0.2">
      <c r="A11" t="s">
        <v>11</v>
      </c>
      <c r="B11" s="6">
        <v>1</v>
      </c>
    </row>
    <row r="12" spans="1:3" x14ac:dyDescent="0.2">
      <c r="A12" t="s">
        <v>12</v>
      </c>
      <c r="B12" s="8" t="s">
        <v>13</v>
      </c>
    </row>
    <row r="13" spans="1:3" x14ac:dyDescent="0.2">
      <c r="A13" t="s">
        <v>14</v>
      </c>
      <c r="B13" s="8" t="s">
        <v>13</v>
      </c>
    </row>
    <row r="14" spans="1:3" x14ac:dyDescent="0.2">
      <c r="A14" t="s">
        <v>15</v>
      </c>
      <c r="B14" s="8" t="s">
        <v>16</v>
      </c>
    </row>
    <row r="15" spans="1:3" x14ac:dyDescent="0.2">
      <c r="A15" t="s">
        <v>17</v>
      </c>
      <c r="B15" s="8" t="s">
        <v>18</v>
      </c>
    </row>
    <row r="16" spans="1:3" x14ac:dyDescent="0.2">
      <c r="A16" s="4" t="s">
        <v>19</v>
      </c>
      <c r="B16" s="9" t="s">
        <v>18</v>
      </c>
    </row>
    <row r="19" spans="1:3" x14ac:dyDescent="0.2">
      <c r="A19" s="10" t="s">
        <v>20</v>
      </c>
      <c r="B19" s="10"/>
      <c r="C19" s="10"/>
    </row>
    <row r="20" spans="1:3" ht="34" x14ac:dyDescent="0.2">
      <c r="A20" s="24" t="s">
        <v>21</v>
      </c>
    </row>
    <row r="21" spans="1:3" ht="34" x14ac:dyDescent="0.2">
      <c r="A21" s="24" t="s">
        <v>22</v>
      </c>
    </row>
    <row r="22" spans="1:3" ht="34" x14ac:dyDescent="0.2">
      <c r="A22" s="24" t="s">
        <v>23</v>
      </c>
    </row>
    <row r="23" spans="1:3" ht="34" x14ac:dyDescent="0.2">
      <c r="A23" s="24" t="s">
        <v>24</v>
      </c>
    </row>
    <row r="24" spans="1:3" ht="34" x14ac:dyDescent="0.2">
      <c r="A24" s="24" t="s">
        <v>25</v>
      </c>
    </row>
    <row r="27" spans="1:3" x14ac:dyDescent="0.2">
      <c r="A27" s="10" t="s">
        <v>26</v>
      </c>
      <c r="B27" s="10"/>
      <c r="C27" s="10"/>
    </row>
    <row r="28" spans="1:3" ht="34" x14ac:dyDescent="0.2">
      <c r="A28" s="24" t="s">
        <v>27</v>
      </c>
    </row>
    <row r="29" spans="1:3" ht="51" x14ac:dyDescent="0.2">
      <c r="A29" s="24" t="s">
        <v>28</v>
      </c>
    </row>
    <row r="30" spans="1:3" ht="34" x14ac:dyDescent="0.2">
      <c r="A30" s="24" t="s">
        <v>29</v>
      </c>
    </row>
    <row r="31" spans="1:3" ht="51" x14ac:dyDescent="0.2">
      <c r="A31" s="24" t="s">
        <v>30</v>
      </c>
    </row>
    <row r="34" spans="1:3" x14ac:dyDescent="0.2">
      <c r="A34" s="48"/>
      <c r="B34" s="48"/>
      <c r="C34" s="48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5E39-0AA2-6E46-AD5F-18A2112B5416}">
  <dimension ref="A1"/>
  <sheetViews>
    <sheetView rightToLeft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4ECB-66DC-5C47-BDB6-BA0ED53CC786}">
  <sheetPr>
    <tabColor rgb="FF5B9BD5"/>
  </sheetPr>
  <dimension ref="A1:I7"/>
  <sheetViews>
    <sheetView showGridLines="0" rightToLeft="1" zoomScale="75" workbookViewId="0">
      <pane ySplit="1" topLeftCell="A2" activePane="bottomLeft" state="frozen"/>
      <selection pane="bottomLeft" activeCell="E19" sqref="E19:E24"/>
    </sheetView>
  </sheetViews>
  <sheetFormatPr baseColWidth="10" defaultRowHeight="16" x14ac:dyDescent="0.2"/>
  <cols>
    <col min="1" max="3" width="12.85546875" customWidth="1"/>
    <col min="4" max="4" width="15.7109375" customWidth="1"/>
    <col min="5" max="5" width="18.5703125" customWidth="1"/>
    <col min="6" max="6" width="20.7109375" customWidth="1"/>
    <col min="7" max="7" width="27.140625" customWidth="1"/>
    <col min="8" max="8" width="21.42578125" customWidth="1"/>
    <col min="9" max="9" width="33.5703125" customWidth="1"/>
  </cols>
  <sheetData>
    <row r="1" spans="1:9" ht="26" customHeight="1" x14ac:dyDescent="0.25">
      <c r="A1" s="49" t="s">
        <v>31</v>
      </c>
      <c r="B1" s="49"/>
      <c r="C1" s="49"/>
      <c r="D1" s="49"/>
      <c r="E1" s="49"/>
      <c r="F1" s="49"/>
      <c r="G1" s="49"/>
      <c r="H1" s="49"/>
      <c r="I1" s="49"/>
    </row>
    <row r="2" spans="1:9" x14ac:dyDescent="0.2">
      <c r="A2" s="27"/>
      <c r="B2" s="27"/>
      <c r="C2" s="27"/>
      <c r="D2" s="27"/>
      <c r="E2" s="27"/>
      <c r="F2" s="27"/>
      <c r="G2" s="27"/>
      <c r="H2" s="27"/>
      <c r="I2" s="27"/>
    </row>
    <row r="3" spans="1:9" ht="60" customHeight="1" x14ac:dyDescent="0.2">
      <c r="A3" s="28" t="s">
        <v>32</v>
      </c>
      <c r="B3" s="28" t="s">
        <v>6</v>
      </c>
      <c r="C3" s="28" t="s">
        <v>7</v>
      </c>
      <c r="D3" s="28" t="s">
        <v>33</v>
      </c>
      <c r="E3" s="28" t="s">
        <v>34</v>
      </c>
      <c r="F3" s="28" t="s">
        <v>35</v>
      </c>
      <c r="G3" s="28" t="s">
        <v>36</v>
      </c>
      <c r="H3" s="28" t="s">
        <v>37</v>
      </c>
      <c r="I3" s="28" t="s">
        <v>38</v>
      </c>
    </row>
    <row r="4" spans="1:9" ht="17" x14ac:dyDescent="0.2">
      <c r="A4" s="3" t="s">
        <v>39</v>
      </c>
      <c r="B4" s="3">
        <v>5</v>
      </c>
      <c r="C4" s="13">
        <f>B4*INDEX(tblOverviewParameters[Value],MATCH("Number of Sets",tblOverviewParameters[Parameter],0))</f>
        <v>45</v>
      </c>
      <c r="D4" s="11">
        <v>0.7</v>
      </c>
      <c r="E4" s="15">
        <f>D4*INDEX(tblOverviewParameters[Value],MATCH("Cards per Pack",tblOverviewParameters[Parameter],0))</f>
        <v>2.8</v>
      </c>
      <c r="F4" s="17">
        <f>D4/C4</f>
        <v>1.5555555555555555E-2</v>
      </c>
      <c r="G4" s="17">
        <f>1-(1-F4)^INDEX(tblOverviewParameters[Value],MATCH("Cards per Pack",tblOverviewParameters[Parameter],0))</f>
        <v>6.078536805974688E-2</v>
      </c>
      <c r="H4" s="19">
        <f>1/G4</f>
        <v>16.451327546739282</v>
      </c>
      <c r="I4" s="29" t="s">
        <v>40</v>
      </c>
    </row>
    <row r="5" spans="1:9" ht="17" x14ac:dyDescent="0.2">
      <c r="A5" t="s">
        <v>41</v>
      </c>
      <c r="B5">
        <v>3</v>
      </c>
      <c r="C5" s="14">
        <f>B5*INDEX(tblOverviewParameters[Value],MATCH("Number of Sets",tblOverviewParameters[Parameter],0))</f>
        <v>27</v>
      </c>
      <c r="D5" s="12">
        <v>0.25</v>
      </c>
      <c r="E5" s="16">
        <f>D5*INDEX(tblOverviewParameters[Value],MATCH("Cards per Pack",tblOverviewParameters[Parameter],0))</f>
        <v>1</v>
      </c>
      <c r="F5" s="18">
        <f>D5/C5</f>
        <v>9.2592592592592587E-3</v>
      </c>
      <c r="G5" s="18">
        <f>1-(1-F5)^INDEX(tblOverviewParameters[Value],MATCH("Cards per Pack",tblOverviewParameters[Parameter],0))</f>
        <v>3.6525801723521711E-2</v>
      </c>
      <c r="H5" s="20">
        <f>1/G5</f>
        <v>27.377906926435095</v>
      </c>
      <c r="I5" s="24" t="s">
        <v>42</v>
      </c>
    </row>
    <row r="6" spans="1:9" ht="18" thickBot="1" x14ac:dyDescent="0.25">
      <c r="A6" t="s">
        <v>43</v>
      </c>
      <c r="B6">
        <v>1</v>
      </c>
      <c r="C6" s="14">
        <f>B6*INDEX(tblOverviewParameters[Value],MATCH("Number of Sets",tblOverviewParameters[Parameter],0))</f>
        <v>9</v>
      </c>
      <c r="D6" s="12">
        <v>0.05</v>
      </c>
      <c r="E6" s="16">
        <f>D6*INDEX(tblOverviewParameters[Value],MATCH("Cards per Pack",tblOverviewParameters[Parameter],0))</f>
        <v>0.2</v>
      </c>
      <c r="F6" s="18">
        <f>D6/C6</f>
        <v>5.5555555555555558E-3</v>
      </c>
      <c r="G6" s="18">
        <f>1-(1-F6)^INDEX(tblOverviewParameters[Value],MATCH("Cards per Pack",tblOverviewParameters[Parameter],0))</f>
        <v>2.2037721955494582E-2</v>
      </c>
      <c r="H6" s="20">
        <f>1/G6</f>
        <v>45.376740936268767</v>
      </c>
      <c r="I6" s="24" t="s">
        <v>44</v>
      </c>
    </row>
    <row r="7" spans="1:9" ht="34" x14ac:dyDescent="0.2">
      <c r="A7" s="21" t="s">
        <v>45</v>
      </c>
      <c r="B7" s="21"/>
      <c r="C7" s="22">
        <f>SUM(C4:C6)</f>
        <v>81</v>
      </c>
      <c r="D7" s="21">
        <f>SUM(D4:D6)</f>
        <v>1</v>
      </c>
      <c r="E7" s="23">
        <f>SUM(E4:E6)</f>
        <v>4</v>
      </c>
      <c r="F7" s="21"/>
      <c r="G7" s="21"/>
      <c r="H7" s="21"/>
      <c r="I7" s="30" t="s">
        <v>46</v>
      </c>
    </row>
  </sheetData>
  <mergeCells count="1">
    <mergeCell ref="A1:I1"/>
  </mergeCells>
  <conditionalFormatting sqref="D7">
    <cfRule type="expression" dxfId="1" priority="1">
      <formula>D7=1</formula>
    </cfRule>
    <cfRule type="expression" dxfId="0" priority="2">
      <formula>D7&lt;&gt;1</formula>
    </cfRule>
  </conditionalFormatting>
  <dataValidations count="1">
    <dataValidation type="decimal" allowBlank="1" showInputMessage="1" showErrorMessage="1" errorTitle="Invalid probability" error="Enter a probability between 0% and 100%." sqref="D4:D6" xr:uid="{BEED2D70-5452-3A40-8E3B-19913AF2CBEC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8C81-F224-5F44-9955-BACD5F74A1C6}">
  <sheetPr>
    <tabColor rgb="FF70AD47"/>
  </sheetPr>
  <dimension ref="A1:I84"/>
  <sheetViews>
    <sheetView showGridLines="0" rightToLeft="1" zoomScale="5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2" width="13.5703125" customWidth="1"/>
    <col min="3" max="4" width="15.7109375" customWidth="1"/>
    <col min="5" max="6" width="17.85546875" customWidth="1"/>
    <col min="7" max="7" width="16.42578125" customWidth="1"/>
    <col min="8" max="8" width="30.7109375" customWidth="1"/>
    <col min="9" max="9" width="20.7109375" customWidth="1"/>
  </cols>
  <sheetData>
    <row r="1" spans="1:9" ht="26" customHeight="1" thickBot="1" x14ac:dyDescent="0.3">
      <c r="A1" s="51" t="s">
        <v>155</v>
      </c>
      <c r="B1" s="51"/>
      <c r="C1" s="51"/>
      <c r="D1" s="51"/>
      <c r="E1" s="51"/>
      <c r="F1" s="51"/>
      <c r="G1" s="51"/>
      <c r="H1" s="51"/>
      <c r="I1" s="51"/>
    </row>
    <row r="2" spans="1:9" x14ac:dyDescent="0.2">
      <c r="A2" s="46" t="s">
        <v>156</v>
      </c>
      <c r="B2" s="46"/>
      <c r="C2" s="46"/>
      <c r="D2" s="46"/>
      <c r="E2" s="46"/>
      <c r="F2" s="46"/>
      <c r="G2" s="46"/>
      <c r="H2" s="46"/>
      <c r="I2" s="46"/>
    </row>
    <row r="3" spans="1:9" ht="58" customHeight="1" x14ac:dyDescent="0.2">
      <c r="A3" s="31" t="s">
        <v>47</v>
      </c>
      <c r="B3" s="31" t="s">
        <v>48</v>
      </c>
      <c r="C3" s="31" t="s">
        <v>49</v>
      </c>
      <c r="D3" s="31" t="s">
        <v>32</v>
      </c>
      <c r="E3" s="31" t="s">
        <v>50</v>
      </c>
      <c r="F3" s="31" t="s">
        <v>51</v>
      </c>
      <c r="G3" s="31" t="s">
        <v>52</v>
      </c>
      <c r="H3" s="31" t="s">
        <v>53</v>
      </c>
      <c r="I3" s="31" t="s">
        <v>54</v>
      </c>
    </row>
    <row r="4" spans="1:9" x14ac:dyDescent="0.2">
      <c r="A4" s="47" t="s">
        <v>55</v>
      </c>
      <c r="B4" s="47" t="s">
        <v>56</v>
      </c>
      <c r="C4" s="47">
        <v>1</v>
      </c>
      <c r="D4" s="47" t="s">
        <v>39</v>
      </c>
      <c r="E4" s="18">
        <f>INDEX(tblRarityConfig[Drop Probability],MATCH($D4,tblRarityConfig[Rarity],0))</f>
        <v>0.7</v>
      </c>
      <c r="F4" s="14">
        <f>INDEX(tblRarityConfig[Total Cards],MATCH($D4,tblRarityConfig[Rarity],0))</f>
        <v>45</v>
      </c>
      <c r="G4" s="18">
        <f t="shared" ref="G4:G35" si="0">E4/F4</f>
        <v>1.5555555555555555E-2</v>
      </c>
      <c r="H4" s="32">
        <f>1-(1-G4)^INDEX(tblOverviewParameters[Value],MATCH("Cards per Pack",tblOverviewParameters[Parameter],0))</f>
        <v>6.078536805974688E-2</v>
      </c>
      <c r="I4" s="33">
        <f t="shared" ref="I4:I35" si="1">1/H4</f>
        <v>16.451327546739282</v>
      </c>
    </row>
    <row r="5" spans="1:9" x14ac:dyDescent="0.2">
      <c r="A5" s="47" t="s">
        <v>57</v>
      </c>
      <c r="B5" s="47" t="s">
        <v>56</v>
      </c>
      <c r="C5" s="47">
        <v>2</v>
      </c>
      <c r="D5" s="47" t="s">
        <v>39</v>
      </c>
      <c r="E5" s="18">
        <f>INDEX(tblRarityConfig[Drop Probability],MATCH($D5,tblRarityConfig[Rarity],0))</f>
        <v>0.7</v>
      </c>
      <c r="F5" s="14">
        <f>INDEX(tblRarityConfig[Total Cards],MATCH($D5,tblRarityConfig[Rarity],0))</f>
        <v>45</v>
      </c>
      <c r="G5" s="18">
        <f t="shared" si="0"/>
        <v>1.5555555555555555E-2</v>
      </c>
      <c r="H5" s="32">
        <f>1-(1-G5)^INDEX(tblOverviewParameters[Value],MATCH("Cards per Pack",tblOverviewParameters[Parameter],0))</f>
        <v>6.078536805974688E-2</v>
      </c>
      <c r="I5" s="33">
        <f t="shared" si="1"/>
        <v>16.451327546739282</v>
      </c>
    </row>
    <row r="6" spans="1:9" x14ac:dyDescent="0.2">
      <c r="A6" s="47" t="s">
        <v>58</v>
      </c>
      <c r="B6" s="47" t="s">
        <v>56</v>
      </c>
      <c r="C6" s="47">
        <v>3</v>
      </c>
      <c r="D6" s="47" t="s">
        <v>39</v>
      </c>
      <c r="E6" s="18">
        <f>INDEX(tblRarityConfig[Drop Probability],MATCH($D6,tblRarityConfig[Rarity],0))</f>
        <v>0.7</v>
      </c>
      <c r="F6" s="14">
        <f>INDEX(tblRarityConfig[Total Cards],MATCH($D6,tblRarityConfig[Rarity],0))</f>
        <v>45</v>
      </c>
      <c r="G6" s="18">
        <f t="shared" si="0"/>
        <v>1.5555555555555555E-2</v>
      </c>
      <c r="H6" s="32">
        <f>1-(1-G6)^INDEX(tblOverviewParameters[Value],MATCH("Cards per Pack",tblOverviewParameters[Parameter],0))</f>
        <v>6.078536805974688E-2</v>
      </c>
      <c r="I6" s="33">
        <f t="shared" si="1"/>
        <v>16.451327546739282</v>
      </c>
    </row>
    <row r="7" spans="1:9" x14ac:dyDescent="0.2">
      <c r="A7" s="47" t="s">
        <v>59</v>
      </c>
      <c r="B7" s="47" t="s">
        <v>56</v>
      </c>
      <c r="C7" s="47">
        <v>4</v>
      </c>
      <c r="D7" s="47" t="s">
        <v>39</v>
      </c>
      <c r="E7" s="18">
        <f>INDEX(tblRarityConfig[Drop Probability],MATCH($D7,tblRarityConfig[Rarity],0))</f>
        <v>0.7</v>
      </c>
      <c r="F7" s="14">
        <f>INDEX(tblRarityConfig[Total Cards],MATCH($D7,tblRarityConfig[Rarity],0))</f>
        <v>45</v>
      </c>
      <c r="G7" s="18">
        <f t="shared" si="0"/>
        <v>1.5555555555555555E-2</v>
      </c>
      <c r="H7" s="32">
        <f>1-(1-G7)^INDEX(tblOverviewParameters[Value],MATCH("Cards per Pack",tblOverviewParameters[Parameter],0))</f>
        <v>6.078536805974688E-2</v>
      </c>
      <c r="I7" s="33">
        <f t="shared" si="1"/>
        <v>16.451327546739282</v>
      </c>
    </row>
    <row r="8" spans="1:9" x14ac:dyDescent="0.2">
      <c r="A8" s="47" t="s">
        <v>60</v>
      </c>
      <c r="B8" s="47" t="s">
        <v>56</v>
      </c>
      <c r="C8" s="47">
        <v>5</v>
      </c>
      <c r="D8" s="47" t="s">
        <v>39</v>
      </c>
      <c r="E8" s="18">
        <f>INDEX(tblRarityConfig[Drop Probability],MATCH($D8,tblRarityConfig[Rarity],0))</f>
        <v>0.7</v>
      </c>
      <c r="F8" s="14">
        <f>INDEX(tblRarityConfig[Total Cards],MATCH($D8,tblRarityConfig[Rarity],0))</f>
        <v>45</v>
      </c>
      <c r="G8" s="18">
        <f t="shared" si="0"/>
        <v>1.5555555555555555E-2</v>
      </c>
      <c r="H8" s="32">
        <f>1-(1-G8)^INDEX(tblOverviewParameters[Value],MATCH("Cards per Pack",tblOverviewParameters[Parameter],0))</f>
        <v>6.078536805974688E-2</v>
      </c>
      <c r="I8" s="33">
        <f t="shared" si="1"/>
        <v>16.451327546739282</v>
      </c>
    </row>
    <row r="9" spans="1:9" x14ac:dyDescent="0.2">
      <c r="A9" s="47" t="s">
        <v>61</v>
      </c>
      <c r="B9" s="47" t="s">
        <v>56</v>
      </c>
      <c r="C9" s="47">
        <v>6</v>
      </c>
      <c r="D9" s="47" t="s">
        <v>41</v>
      </c>
      <c r="E9" s="18">
        <f>INDEX(tblRarityConfig[Drop Probability],MATCH($D9,tblRarityConfig[Rarity],0))</f>
        <v>0.25</v>
      </c>
      <c r="F9" s="14">
        <f>INDEX(tblRarityConfig[Total Cards],MATCH($D9,tblRarityConfig[Rarity],0))</f>
        <v>27</v>
      </c>
      <c r="G9" s="18">
        <f t="shared" si="0"/>
        <v>9.2592592592592587E-3</v>
      </c>
      <c r="H9" s="32">
        <f>1-(1-G9)^INDEX(tblOverviewParameters[Value],MATCH("Cards per Pack",tblOverviewParameters[Parameter],0))</f>
        <v>3.6525801723521711E-2</v>
      </c>
      <c r="I9" s="33">
        <f t="shared" si="1"/>
        <v>27.377906926435095</v>
      </c>
    </row>
    <row r="10" spans="1:9" x14ac:dyDescent="0.2">
      <c r="A10" s="47" t="s">
        <v>62</v>
      </c>
      <c r="B10" s="47" t="s">
        <v>56</v>
      </c>
      <c r="C10" s="47">
        <v>7</v>
      </c>
      <c r="D10" s="47" t="s">
        <v>41</v>
      </c>
      <c r="E10" s="18">
        <f>INDEX(tblRarityConfig[Drop Probability],MATCH($D10,tblRarityConfig[Rarity],0))</f>
        <v>0.25</v>
      </c>
      <c r="F10" s="14">
        <f>INDEX(tblRarityConfig[Total Cards],MATCH($D10,tblRarityConfig[Rarity],0))</f>
        <v>27</v>
      </c>
      <c r="G10" s="18">
        <f t="shared" si="0"/>
        <v>9.2592592592592587E-3</v>
      </c>
      <c r="H10" s="32">
        <f>1-(1-G10)^INDEX(tblOverviewParameters[Value],MATCH("Cards per Pack",tblOverviewParameters[Parameter],0))</f>
        <v>3.6525801723521711E-2</v>
      </c>
      <c r="I10" s="33">
        <f t="shared" si="1"/>
        <v>27.377906926435095</v>
      </c>
    </row>
    <row r="11" spans="1:9" x14ac:dyDescent="0.2">
      <c r="A11" s="47" t="s">
        <v>63</v>
      </c>
      <c r="B11" s="47" t="s">
        <v>56</v>
      </c>
      <c r="C11" s="47">
        <v>8</v>
      </c>
      <c r="D11" s="47" t="s">
        <v>41</v>
      </c>
      <c r="E11" s="18">
        <f>INDEX(tblRarityConfig[Drop Probability],MATCH($D11,tblRarityConfig[Rarity],0))</f>
        <v>0.25</v>
      </c>
      <c r="F11" s="14">
        <f>INDEX(tblRarityConfig[Total Cards],MATCH($D11,tblRarityConfig[Rarity],0))</f>
        <v>27</v>
      </c>
      <c r="G11" s="18">
        <f t="shared" si="0"/>
        <v>9.2592592592592587E-3</v>
      </c>
      <c r="H11" s="32">
        <f>1-(1-G11)^INDEX(tblOverviewParameters[Value],MATCH("Cards per Pack",tblOverviewParameters[Parameter],0))</f>
        <v>3.6525801723521711E-2</v>
      </c>
      <c r="I11" s="33">
        <f t="shared" si="1"/>
        <v>27.377906926435095</v>
      </c>
    </row>
    <row r="12" spans="1:9" x14ac:dyDescent="0.2">
      <c r="A12" s="47" t="s">
        <v>64</v>
      </c>
      <c r="B12" s="47" t="s">
        <v>56</v>
      </c>
      <c r="C12" s="47">
        <v>9</v>
      </c>
      <c r="D12" s="47" t="s">
        <v>43</v>
      </c>
      <c r="E12" s="18">
        <f>INDEX(tblRarityConfig[Drop Probability],MATCH($D12,tblRarityConfig[Rarity],0))</f>
        <v>0.05</v>
      </c>
      <c r="F12" s="14">
        <f>INDEX(tblRarityConfig[Total Cards],MATCH($D12,tblRarityConfig[Rarity],0))</f>
        <v>9</v>
      </c>
      <c r="G12" s="18">
        <f t="shared" si="0"/>
        <v>5.5555555555555558E-3</v>
      </c>
      <c r="H12" s="32">
        <f>1-(1-G12)^INDEX(tblOverviewParameters[Value],MATCH("Cards per Pack",tblOverviewParameters[Parameter],0))</f>
        <v>2.2037721955494582E-2</v>
      </c>
      <c r="I12" s="33">
        <f t="shared" si="1"/>
        <v>45.376740936268767</v>
      </c>
    </row>
    <row r="13" spans="1:9" x14ac:dyDescent="0.2">
      <c r="A13" s="47" t="s">
        <v>65</v>
      </c>
      <c r="B13" s="47" t="s">
        <v>66</v>
      </c>
      <c r="C13" s="47">
        <v>1</v>
      </c>
      <c r="D13" s="47" t="s">
        <v>39</v>
      </c>
      <c r="E13" s="18">
        <f>INDEX(tblRarityConfig[Drop Probability],MATCH($D13,tblRarityConfig[Rarity],0))</f>
        <v>0.7</v>
      </c>
      <c r="F13" s="14">
        <f>INDEX(tblRarityConfig[Total Cards],MATCH($D13,tblRarityConfig[Rarity],0))</f>
        <v>45</v>
      </c>
      <c r="G13" s="18">
        <f t="shared" si="0"/>
        <v>1.5555555555555555E-2</v>
      </c>
      <c r="H13" s="32">
        <f>1-(1-G13)^INDEX(tblOverviewParameters[Value],MATCH("Cards per Pack",tblOverviewParameters[Parameter],0))</f>
        <v>6.078536805974688E-2</v>
      </c>
      <c r="I13" s="33">
        <f t="shared" si="1"/>
        <v>16.451327546739282</v>
      </c>
    </row>
    <row r="14" spans="1:9" x14ac:dyDescent="0.2">
      <c r="A14" s="47" t="s">
        <v>67</v>
      </c>
      <c r="B14" s="47" t="s">
        <v>66</v>
      </c>
      <c r="C14" s="47">
        <v>2</v>
      </c>
      <c r="D14" s="47" t="s">
        <v>39</v>
      </c>
      <c r="E14" s="18">
        <f>INDEX(tblRarityConfig[Drop Probability],MATCH($D14,tblRarityConfig[Rarity],0))</f>
        <v>0.7</v>
      </c>
      <c r="F14" s="14">
        <f>INDEX(tblRarityConfig[Total Cards],MATCH($D14,tblRarityConfig[Rarity],0))</f>
        <v>45</v>
      </c>
      <c r="G14" s="18">
        <f t="shared" si="0"/>
        <v>1.5555555555555555E-2</v>
      </c>
      <c r="H14" s="32">
        <f>1-(1-G14)^INDEX(tblOverviewParameters[Value],MATCH("Cards per Pack",tblOverviewParameters[Parameter],0))</f>
        <v>6.078536805974688E-2</v>
      </c>
      <c r="I14" s="33">
        <f t="shared" si="1"/>
        <v>16.451327546739282</v>
      </c>
    </row>
    <row r="15" spans="1:9" x14ac:dyDescent="0.2">
      <c r="A15" s="47" t="s">
        <v>68</v>
      </c>
      <c r="B15" s="47" t="s">
        <v>66</v>
      </c>
      <c r="C15" s="47">
        <v>3</v>
      </c>
      <c r="D15" s="47" t="s">
        <v>39</v>
      </c>
      <c r="E15" s="18">
        <f>INDEX(tblRarityConfig[Drop Probability],MATCH($D15,tblRarityConfig[Rarity],0))</f>
        <v>0.7</v>
      </c>
      <c r="F15" s="14">
        <f>INDEX(tblRarityConfig[Total Cards],MATCH($D15,tblRarityConfig[Rarity],0))</f>
        <v>45</v>
      </c>
      <c r="G15" s="18">
        <f t="shared" si="0"/>
        <v>1.5555555555555555E-2</v>
      </c>
      <c r="H15" s="32">
        <f>1-(1-G15)^INDEX(tblOverviewParameters[Value],MATCH("Cards per Pack",tblOverviewParameters[Parameter],0))</f>
        <v>6.078536805974688E-2</v>
      </c>
      <c r="I15" s="33">
        <f t="shared" si="1"/>
        <v>16.451327546739282</v>
      </c>
    </row>
    <row r="16" spans="1:9" x14ac:dyDescent="0.2">
      <c r="A16" s="47" t="s">
        <v>69</v>
      </c>
      <c r="B16" s="47" t="s">
        <v>66</v>
      </c>
      <c r="C16" s="47">
        <v>4</v>
      </c>
      <c r="D16" s="47" t="s">
        <v>39</v>
      </c>
      <c r="E16" s="18">
        <f>INDEX(tblRarityConfig[Drop Probability],MATCH($D16,tblRarityConfig[Rarity],0))</f>
        <v>0.7</v>
      </c>
      <c r="F16" s="14">
        <f>INDEX(tblRarityConfig[Total Cards],MATCH($D16,tblRarityConfig[Rarity],0))</f>
        <v>45</v>
      </c>
      <c r="G16" s="18">
        <f t="shared" si="0"/>
        <v>1.5555555555555555E-2</v>
      </c>
      <c r="H16" s="32">
        <f>1-(1-G16)^INDEX(tblOverviewParameters[Value],MATCH("Cards per Pack",tblOverviewParameters[Parameter],0))</f>
        <v>6.078536805974688E-2</v>
      </c>
      <c r="I16" s="33">
        <f t="shared" si="1"/>
        <v>16.451327546739282</v>
      </c>
    </row>
    <row r="17" spans="1:9" x14ac:dyDescent="0.2">
      <c r="A17" s="47" t="s">
        <v>70</v>
      </c>
      <c r="B17" s="47" t="s">
        <v>66</v>
      </c>
      <c r="C17" s="47">
        <v>5</v>
      </c>
      <c r="D17" s="47" t="s">
        <v>39</v>
      </c>
      <c r="E17" s="18">
        <f>INDEX(tblRarityConfig[Drop Probability],MATCH($D17,tblRarityConfig[Rarity],0))</f>
        <v>0.7</v>
      </c>
      <c r="F17" s="14">
        <f>INDEX(tblRarityConfig[Total Cards],MATCH($D17,tblRarityConfig[Rarity],0))</f>
        <v>45</v>
      </c>
      <c r="G17" s="18">
        <f t="shared" si="0"/>
        <v>1.5555555555555555E-2</v>
      </c>
      <c r="H17" s="32">
        <f>1-(1-G17)^INDEX(tblOverviewParameters[Value],MATCH("Cards per Pack",tblOverviewParameters[Parameter],0))</f>
        <v>6.078536805974688E-2</v>
      </c>
      <c r="I17" s="33">
        <f t="shared" si="1"/>
        <v>16.451327546739282</v>
      </c>
    </row>
    <row r="18" spans="1:9" x14ac:dyDescent="0.2">
      <c r="A18" s="47" t="s">
        <v>71</v>
      </c>
      <c r="B18" s="47" t="s">
        <v>66</v>
      </c>
      <c r="C18" s="47">
        <v>6</v>
      </c>
      <c r="D18" s="47" t="s">
        <v>41</v>
      </c>
      <c r="E18" s="18">
        <f>INDEX(tblRarityConfig[Drop Probability],MATCH($D18,tblRarityConfig[Rarity],0))</f>
        <v>0.25</v>
      </c>
      <c r="F18" s="14">
        <f>INDEX(tblRarityConfig[Total Cards],MATCH($D18,tblRarityConfig[Rarity],0))</f>
        <v>27</v>
      </c>
      <c r="G18" s="18">
        <f t="shared" si="0"/>
        <v>9.2592592592592587E-3</v>
      </c>
      <c r="H18" s="32">
        <f>1-(1-G18)^INDEX(tblOverviewParameters[Value],MATCH("Cards per Pack",tblOverviewParameters[Parameter],0))</f>
        <v>3.6525801723521711E-2</v>
      </c>
      <c r="I18" s="33">
        <f t="shared" si="1"/>
        <v>27.377906926435095</v>
      </c>
    </row>
    <row r="19" spans="1:9" x14ac:dyDescent="0.2">
      <c r="A19" s="47" t="s">
        <v>72</v>
      </c>
      <c r="B19" s="47" t="s">
        <v>66</v>
      </c>
      <c r="C19" s="47">
        <v>7</v>
      </c>
      <c r="D19" s="47" t="s">
        <v>41</v>
      </c>
      <c r="E19" s="18">
        <f>INDEX(tblRarityConfig[Drop Probability],MATCH($D19,tblRarityConfig[Rarity],0))</f>
        <v>0.25</v>
      </c>
      <c r="F19" s="14">
        <f>INDEX(tblRarityConfig[Total Cards],MATCH($D19,tblRarityConfig[Rarity],0))</f>
        <v>27</v>
      </c>
      <c r="G19" s="18">
        <f t="shared" si="0"/>
        <v>9.2592592592592587E-3</v>
      </c>
      <c r="H19" s="32">
        <f>1-(1-G19)^INDEX(tblOverviewParameters[Value],MATCH("Cards per Pack",tblOverviewParameters[Parameter],0))</f>
        <v>3.6525801723521711E-2</v>
      </c>
      <c r="I19" s="33">
        <f t="shared" si="1"/>
        <v>27.377906926435095</v>
      </c>
    </row>
    <row r="20" spans="1:9" x14ac:dyDescent="0.2">
      <c r="A20" s="47" t="s">
        <v>73</v>
      </c>
      <c r="B20" s="47" t="s">
        <v>66</v>
      </c>
      <c r="C20" s="47">
        <v>8</v>
      </c>
      <c r="D20" s="47" t="s">
        <v>41</v>
      </c>
      <c r="E20" s="18">
        <f>INDEX(tblRarityConfig[Drop Probability],MATCH($D20,tblRarityConfig[Rarity],0))</f>
        <v>0.25</v>
      </c>
      <c r="F20" s="14">
        <f>INDEX(tblRarityConfig[Total Cards],MATCH($D20,tblRarityConfig[Rarity],0))</f>
        <v>27</v>
      </c>
      <c r="G20" s="18">
        <f t="shared" si="0"/>
        <v>9.2592592592592587E-3</v>
      </c>
      <c r="H20" s="32">
        <f>1-(1-G20)^INDEX(tblOverviewParameters[Value],MATCH("Cards per Pack",tblOverviewParameters[Parameter],0))</f>
        <v>3.6525801723521711E-2</v>
      </c>
      <c r="I20" s="33">
        <f t="shared" si="1"/>
        <v>27.377906926435095</v>
      </c>
    </row>
    <row r="21" spans="1:9" x14ac:dyDescent="0.2">
      <c r="A21" s="47" t="s">
        <v>74</v>
      </c>
      <c r="B21" s="47" t="s">
        <v>66</v>
      </c>
      <c r="C21" s="47">
        <v>9</v>
      </c>
      <c r="D21" s="47" t="s">
        <v>43</v>
      </c>
      <c r="E21" s="18">
        <f>INDEX(tblRarityConfig[Drop Probability],MATCH($D21,tblRarityConfig[Rarity],0))</f>
        <v>0.05</v>
      </c>
      <c r="F21" s="14">
        <f>INDEX(tblRarityConfig[Total Cards],MATCH($D21,tblRarityConfig[Rarity],0))</f>
        <v>9</v>
      </c>
      <c r="G21" s="18">
        <f t="shared" si="0"/>
        <v>5.5555555555555558E-3</v>
      </c>
      <c r="H21" s="32">
        <f>1-(1-G21)^INDEX(tblOverviewParameters[Value],MATCH("Cards per Pack",tblOverviewParameters[Parameter],0))</f>
        <v>2.2037721955494582E-2</v>
      </c>
      <c r="I21" s="33">
        <f t="shared" si="1"/>
        <v>45.376740936268767</v>
      </c>
    </row>
    <row r="22" spans="1:9" x14ac:dyDescent="0.2">
      <c r="A22" s="47" t="s">
        <v>75</v>
      </c>
      <c r="B22" s="47" t="s">
        <v>76</v>
      </c>
      <c r="C22" s="47">
        <v>1</v>
      </c>
      <c r="D22" s="47" t="s">
        <v>39</v>
      </c>
      <c r="E22" s="18">
        <f>INDEX(tblRarityConfig[Drop Probability],MATCH($D22,tblRarityConfig[Rarity],0))</f>
        <v>0.7</v>
      </c>
      <c r="F22" s="14">
        <f>INDEX(tblRarityConfig[Total Cards],MATCH($D22,tblRarityConfig[Rarity],0))</f>
        <v>45</v>
      </c>
      <c r="G22" s="18">
        <f t="shared" si="0"/>
        <v>1.5555555555555555E-2</v>
      </c>
      <c r="H22" s="32">
        <f>1-(1-G22)^INDEX(tblOverviewParameters[Value],MATCH("Cards per Pack",tblOverviewParameters[Parameter],0))</f>
        <v>6.078536805974688E-2</v>
      </c>
      <c r="I22" s="33">
        <f t="shared" si="1"/>
        <v>16.451327546739282</v>
      </c>
    </row>
    <row r="23" spans="1:9" x14ac:dyDescent="0.2">
      <c r="A23" s="47" t="s">
        <v>77</v>
      </c>
      <c r="B23" s="47" t="s">
        <v>76</v>
      </c>
      <c r="C23" s="47">
        <v>2</v>
      </c>
      <c r="D23" s="47" t="s">
        <v>39</v>
      </c>
      <c r="E23" s="18">
        <f>INDEX(tblRarityConfig[Drop Probability],MATCH($D23,tblRarityConfig[Rarity],0))</f>
        <v>0.7</v>
      </c>
      <c r="F23" s="14">
        <f>INDEX(tblRarityConfig[Total Cards],MATCH($D23,tblRarityConfig[Rarity],0))</f>
        <v>45</v>
      </c>
      <c r="G23" s="18">
        <f t="shared" si="0"/>
        <v>1.5555555555555555E-2</v>
      </c>
      <c r="H23" s="32">
        <f>1-(1-G23)^INDEX(tblOverviewParameters[Value],MATCH("Cards per Pack",tblOverviewParameters[Parameter],0))</f>
        <v>6.078536805974688E-2</v>
      </c>
      <c r="I23" s="33">
        <f t="shared" si="1"/>
        <v>16.451327546739282</v>
      </c>
    </row>
    <row r="24" spans="1:9" x14ac:dyDescent="0.2">
      <c r="A24" s="47" t="s">
        <v>78</v>
      </c>
      <c r="B24" s="47" t="s">
        <v>76</v>
      </c>
      <c r="C24" s="47">
        <v>3</v>
      </c>
      <c r="D24" s="47" t="s">
        <v>39</v>
      </c>
      <c r="E24" s="18">
        <f>INDEX(tblRarityConfig[Drop Probability],MATCH($D24,tblRarityConfig[Rarity],0))</f>
        <v>0.7</v>
      </c>
      <c r="F24" s="14">
        <f>INDEX(tblRarityConfig[Total Cards],MATCH($D24,tblRarityConfig[Rarity],0))</f>
        <v>45</v>
      </c>
      <c r="G24" s="18">
        <f t="shared" si="0"/>
        <v>1.5555555555555555E-2</v>
      </c>
      <c r="H24" s="32">
        <f>1-(1-G24)^INDEX(tblOverviewParameters[Value],MATCH("Cards per Pack",tblOverviewParameters[Parameter],0))</f>
        <v>6.078536805974688E-2</v>
      </c>
      <c r="I24" s="33">
        <f t="shared" si="1"/>
        <v>16.451327546739282</v>
      </c>
    </row>
    <row r="25" spans="1:9" x14ac:dyDescent="0.2">
      <c r="A25" s="47" t="s">
        <v>79</v>
      </c>
      <c r="B25" s="47" t="s">
        <v>76</v>
      </c>
      <c r="C25" s="47">
        <v>4</v>
      </c>
      <c r="D25" s="47" t="s">
        <v>39</v>
      </c>
      <c r="E25" s="18">
        <f>INDEX(tblRarityConfig[Drop Probability],MATCH($D25,tblRarityConfig[Rarity],0))</f>
        <v>0.7</v>
      </c>
      <c r="F25" s="14">
        <f>INDEX(tblRarityConfig[Total Cards],MATCH($D25,tblRarityConfig[Rarity],0))</f>
        <v>45</v>
      </c>
      <c r="G25" s="18">
        <f t="shared" si="0"/>
        <v>1.5555555555555555E-2</v>
      </c>
      <c r="H25" s="32">
        <f>1-(1-G25)^INDEX(tblOverviewParameters[Value],MATCH("Cards per Pack",tblOverviewParameters[Parameter],0))</f>
        <v>6.078536805974688E-2</v>
      </c>
      <c r="I25" s="33">
        <f t="shared" si="1"/>
        <v>16.451327546739282</v>
      </c>
    </row>
    <row r="26" spans="1:9" x14ac:dyDescent="0.2">
      <c r="A26" s="47" t="s">
        <v>80</v>
      </c>
      <c r="B26" s="47" t="s">
        <v>76</v>
      </c>
      <c r="C26" s="47">
        <v>5</v>
      </c>
      <c r="D26" s="47" t="s">
        <v>39</v>
      </c>
      <c r="E26" s="18">
        <f>INDEX(tblRarityConfig[Drop Probability],MATCH($D26,tblRarityConfig[Rarity],0))</f>
        <v>0.7</v>
      </c>
      <c r="F26" s="14">
        <f>INDEX(tblRarityConfig[Total Cards],MATCH($D26,tblRarityConfig[Rarity],0))</f>
        <v>45</v>
      </c>
      <c r="G26" s="18">
        <f t="shared" si="0"/>
        <v>1.5555555555555555E-2</v>
      </c>
      <c r="H26" s="32">
        <f>1-(1-G26)^INDEX(tblOverviewParameters[Value],MATCH("Cards per Pack",tblOverviewParameters[Parameter],0))</f>
        <v>6.078536805974688E-2</v>
      </c>
      <c r="I26" s="33">
        <f t="shared" si="1"/>
        <v>16.451327546739282</v>
      </c>
    </row>
    <row r="27" spans="1:9" x14ac:dyDescent="0.2">
      <c r="A27" s="47" t="s">
        <v>81</v>
      </c>
      <c r="B27" s="47" t="s">
        <v>76</v>
      </c>
      <c r="C27" s="47">
        <v>6</v>
      </c>
      <c r="D27" s="47" t="s">
        <v>41</v>
      </c>
      <c r="E27" s="18">
        <f>INDEX(tblRarityConfig[Drop Probability],MATCH($D27,tblRarityConfig[Rarity],0))</f>
        <v>0.25</v>
      </c>
      <c r="F27" s="14">
        <f>INDEX(tblRarityConfig[Total Cards],MATCH($D27,tblRarityConfig[Rarity],0))</f>
        <v>27</v>
      </c>
      <c r="G27" s="18">
        <f t="shared" si="0"/>
        <v>9.2592592592592587E-3</v>
      </c>
      <c r="H27" s="32">
        <f>1-(1-G27)^INDEX(tblOverviewParameters[Value],MATCH("Cards per Pack",tblOverviewParameters[Parameter],0))</f>
        <v>3.6525801723521711E-2</v>
      </c>
      <c r="I27" s="33">
        <f t="shared" si="1"/>
        <v>27.377906926435095</v>
      </c>
    </row>
    <row r="28" spans="1:9" x14ac:dyDescent="0.2">
      <c r="A28" s="47" t="s">
        <v>82</v>
      </c>
      <c r="B28" s="47" t="s">
        <v>76</v>
      </c>
      <c r="C28" s="47">
        <v>7</v>
      </c>
      <c r="D28" s="47" t="s">
        <v>41</v>
      </c>
      <c r="E28" s="18">
        <f>INDEX(tblRarityConfig[Drop Probability],MATCH($D28,tblRarityConfig[Rarity],0))</f>
        <v>0.25</v>
      </c>
      <c r="F28" s="14">
        <f>INDEX(tblRarityConfig[Total Cards],MATCH($D28,tblRarityConfig[Rarity],0))</f>
        <v>27</v>
      </c>
      <c r="G28" s="18">
        <f t="shared" si="0"/>
        <v>9.2592592592592587E-3</v>
      </c>
      <c r="H28" s="32">
        <f>1-(1-G28)^INDEX(tblOverviewParameters[Value],MATCH("Cards per Pack",tblOverviewParameters[Parameter],0))</f>
        <v>3.6525801723521711E-2</v>
      </c>
      <c r="I28" s="33">
        <f t="shared" si="1"/>
        <v>27.377906926435095</v>
      </c>
    </row>
    <row r="29" spans="1:9" x14ac:dyDescent="0.2">
      <c r="A29" s="47" t="s">
        <v>83</v>
      </c>
      <c r="B29" s="47" t="s">
        <v>76</v>
      </c>
      <c r="C29" s="47">
        <v>8</v>
      </c>
      <c r="D29" s="47" t="s">
        <v>41</v>
      </c>
      <c r="E29" s="18">
        <f>INDEX(tblRarityConfig[Drop Probability],MATCH($D29,tblRarityConfig[Rarity],0))</f>
        <v>0.25</v>
      </c>
      <c r="F29" s="14">
        <f>INDEX(tblRarityConfig[Total Cards],MATCH($D29,tblRarityConfig[Rarity],0))</f>
        <v>27</v>
      </c>
      <c r="G29" s="18">
        <f t="shared" si="0"/>
        <v>9.2592592592592587E-3</v>
      </c>
      <c r="H29" s="32">
        <f>1-(1-G29)^INDEX(tblOverviewParameters[Value],MATCH("Cards per Pack",tblOverviewParameters[Parameter],0))</f>
        <v>3.6525801723521711E-2</v>
      </c>
      <c r="I29" s="33">
        <f t="shared" si="1"/>
        <v>27.377906926435095</v>
      </c>
    </row>
    <row r="30" spans="1:9" x14ac:dyDescent="0.2">
      <c r="A30" s="47" t="s">
        <v>84</v>
      </c>
      <c r="B30" s="47" t="s">
        <v>76</v>
      </c>
      <c r="C30" s="47">
        <v>9</v>
      </c>
      <c r="D30" s="47" t="s">
        <v>43</v>
      </c>
      <c r="E30" s="18">
        <f>INDEX(tblRarityConfig[Drop Probability],MATCH($D30,tblRarityConfig[Rarity],0))</f>
        <v>0.05</v>
      </c>
      <c r="F30" s="14">
        <f>INDEX(tblRarityConfig[Total Cards],MATCH($D30,tblRarityConfig[Rarity],0))</f>
        <v>9</v>
      </c>
      <c r="G30" s="18">
        <f t="shared" si="0"/>
        <v>5.5555555555555558E-3</v>
      </c>
      <c r="H30" s="32">
        <f>1-(1-G30)^INDEX(tblOverviewParameters[Value],MATCH("Cards per Pack",tblOverviewParameters[Parameter],0))</f>
        <v>2.2037721955494582E-2</v>
      </c>
      <c r="I30" s="33">
        <f t="shared" si="1"/>
        <v>45.376740936268767</v>
      </c>
    </row>
    <row r="31" spans="1:9" x14ac:dyDescent="0.2">
      <c r="A31" s="47" t="s">
        <v>85</v>
      </c>
      <c r="B31" s="47" t="s">
        <v>86</v>
      </c>
      <c r="C31" s="47">
        <v>1</v>
      </c>
      <c r="D31" s="47" t="s">
        <v>39</v>
      </c>
      <c r="E31" s="18">
        <f>INDEX(tblRarityConfig[Drop Probability],MATCH($D31,tblRarityConfig[Rarity],0))</f>
        <v>0.7</v>
      </c>
      <c r="F31" s="14">
        <f>INDEX(tblRarityConfig[Total Cards],MATCH($D31,tblRarityConfig[Rarity],0))</f>
        <v>45</v>
      </c>
      <c r="G31" s="18">
        <f t="shared" si="0"/>
        <v>1.5555555555555555E-2</v>
      </c>
      <c r="H31" s="32">
        <f>1-(1-G31)^INDEX(tblOverviewParameters[Value],MATCH("Cards per Pack",tblOverviewParameters[Parameter],0))</f>
        <v>6.078536805974688E-2</v>
      </c>
      <c r="I31" s="33">
        <f t="shared" si="1"/>
        <v>16.451327546739282</v>
      </c>
    </row>
    <row r="32" spans="1:9" x14ac:dyDescent="0.2">
      <c r="A32" s="47" t="s">
        <v>87</v>
      </c>
      <c r="B32" s="47" t="s">
        <v>86</v>
      </c>
      <c r="C32" s="47">
        <v>2</v>
      </c>
      <c r="D32" s="47" t="s">
        <v>39</v>
      </c>
      <c r="E32" s="18">
        <f>INDEX(tblRarityConfig[Drop Probability],MATCH($D32,tblRarityConfig[Rarity],0))</f>
        <v>0.7</v>
      </c>
      <c r="F32" s="14">
        <f>INDEX(tblRarityConfig[Total Cards],MATCH($D32,tblRarityConfig[Rarity],0))</f>
        <v>45</v>
      </c>
      <c r="G32" s="18">
        <f t="shared" si="0"/>
        <v>1.5555555555555555E-2</v>
      </c>
      <c r="H32" s="32">
        <f>1-(1-G32)^INDEX(tblOverviewParameters[Value],MATCH("Cards per Pack",tblOverviewParameters[Parameter],0))</f>
        <v>6.078536805974688E-2</v>
      </c>
      <c r="I32" s="33">
        <f t="shared" si="1"/>
        <v>16.451327546739282</v>
      </c>
    </row>
    <row r="33" spans="1:9" x14ac:dyDescent="0.2">
      <c r="A33" s="47" t="s">
        <v>88</v>
      </c>
      <c r="B33" s="47" t="s">
        <v>86</v>
      </c>
      <c r="C33" s="47">
        <v>3</v>
      </c>
      <c r="D33" s="47" t="s">
        <v>39</v>
      </c>
      <c r="E33" s="18">
        <f>INDEX(tblRarityConfig[Drop Probability],MATCH($D33,tblRarityConfig[Rarity],0))</f>
        <v>0.7</v>
      </c>
      <c r="F33" s="14">
        <f>INDEX(tblRarityConfig[Total Cards],MATCH($D33,tblRarityConfig[Rarity],0))</f>
        <v>45</v>
      </c>
      <c r="G33" s="18">
        <f t="shared" si="0"/>
        <v>1.5555555555555555E-2</v>
      </c>
      <c r="H33" s="32">
        <f>1-(1-G33)^INDEX(tblOverviewParameters[Value],MATCH("Cards per Pack",tblOverviewParameters[Parameter],0))</f>
        <v>6.078536805974688E-2</v>
      </c>
      <c r="I33" s="33">
        <f t="shared" si="1"/>
        <v>16.451327546739282</v>
      </c>
    </row>
    <row r="34" spans="1:9" x14ac:dyDescent="0.2">
      <c r="A34" s="47" t="s">
        <v>89</v>
      </c>
      <c r="B34" s="47" t="s">
        <v>86</v>
      </c>
      <c r="C34" s="47">
        <v>4</v>
      </c>
      <c r="D34" s="47" t="s">
        <v>39</v>
      </c>
      <c r="E34" s="18">
        <f>INDEX(tblRarityConfig[Drop Probability],MATCH($D34,tblRarityConfig[Rarity],0))</f>
        <v>0.7</v>
      </c>
      <c r="F34" s="14">
        <f>INDEX(tblRarityConfig[Total Cards],MATCH($D34,tblRarityConfig[Rarity],0))</f>
        <v>45</v>
      </c>
      <c r="G34" s="18">
        <f t="shared" si="0"/>
        <v>1.5555555555555555E-2</v>
      </c>
      <c r="H34" s="32">
        <f>1-(1-G34)^INDEX(tblOverviewParameters[Value],MATCH("Cards per Pack",tblOverviewParameters[Parameter],0))</f>
        <v>6.078536805974688E-2</v>
      </c>
      <c r="I34" s="33">
        <f t="shared" si="1"/>
        <v>16.451327546739282</v>
      </c>
    </row>
    <row r="35" spans="1:9" x14ac:dyDescent="0.2">
      <c r="A35" s="47" t="s">
        <v>90</v>
      </c>
      <c r="B35" s="47" t="s">
        <v>86</v>
      </c>
      <c r="C35" s="47">
        <v>5</v>
      </c>
      <c r="D35" s="47" t="s">
        <v>39</v>
      </c>
      <c r="E35" s="18">
        <f>INDEX(tblRarityConfig[Drop Probability],MATCH($D35,tblRarityConfig[Rarity],0))</f>
        <v>0.7</v>
      </c>
      <c r="F35" s="14">
        <f>INDEX(tblRarityConfig[Total Cards],MATCH($D35,tblRarityConfig[Rarity],0))</f>
        <v>45</v>
      </c>
      <c r="G35" s="18">
        <f t="shared" si="0"/>
        <v>1.5555555555555555E-2</v>
      </c>
      <c r="H35" s="32">
        <f>1-(1-G35)^INDEX(tblOverviewParameters[Value],MATCH("Cards per Pack",tblOverviewParameters[Parameter],0))</f>
        <v>6.078536805974688E-2</v>
      </c>
      <c r="I35" s="33">
        <f t="shared" si="1"/>
        <v>16.451327546739282</v>
      </c>
    </row>
    <row r="36" spans="1:9" x14ac:dyDescent="0.2">
      <c r="A36" s="47" t="s">
        <v>91</v>
      </c>
      <c r="B36" s="47" t="s">
        <v>86</v>
      </c>
      <c r="C36" s="47">
        <v>6</v>
      </c>
      <c r="D36" s="47" t="s">
        <v>41</v>
      </c>
      <c r="E36" s="18">
        <f>INDEX(tblRarityConfig[Drop Probability],MATCH($D36,tblRarityConfig[Rarity],0))</f>
        <v>0.25</v>
      </c>
      <c r="F36" s="14">
        <f>INDEX(tblRarityConfig[Total Cards],MATCH($D36,tblRarityConfig[Rarity],0))</f>
        <v>27</v>
      </c>
      <c r="G36" s="18">
        <f t="shared" ref="G36:G67" si="2">E36/F36</f>
        <v>9.2592592592592587E-3</v>
      </c>
      <c r="H36" s="32">
        <f>1-(1-G36)^INDEX(tblOverviewParameters[Value],MATCH("Cards per Pack",tblOverviewParameters[Parameter],0))</f>
        <v>3.6525801723521711E-2</v>
      </c>
      <c r="I36" s="33">
        <f t="shared" ref="I36:I67" si="3">1/H36</f>
        <v>27.377906926435095</v>
      </c>
    </row>
    <row r="37" spans="1:9" x14ac:dyDescent="0.2">
      <c r="A37" s="47" t="s">
        <v>92</v>
      </c>
      <c r="B37" s="47" t="s">
        <v>86</v>
      </c>
      <c r="C37" s="47">
        <v>7</v>
      </c>
      <c r="D37" s="47" t="s">
        <v>41</v>
      </c>
      <c r="E37" s="18">
        <f>INDEX(tblRarityConfig[Drop Probability],MATCH($D37,tblRarityConfig[Rarity],0))</f>
        <v>0.25</v>
      </c>
      <c r="F37" s="14">
        <f>INDEX(tblRarityConfig[Total Cards],MATCH($D37,tblRarityConfig[Rarity],0))</f>
        <v>27</v>
      </c>
      <c r="G37" s="18">
        <f t="shared" si="2"/>
        <v>9.2592592592592587E-3</v>
      </c>
      <c r="H37" s="32">
        <f>1-(1-G37)^INDEX(tblOverviewParameters[Value],MATCH("Cards per Pack",tblOverviewParameters[Parameter],0))</f>
        <v>3.6525801723521711E-2</v>
      </c>
      <c r="I37" s="33">
        <f t="shared" si="3"/>
        <v>27.377906926435095</v>
      </c>
    </row>
    <row r="38" spans="1:9" x14ac:dyDescent="0.2">
      <c r="A38" s="47" t="s">
        <v>93</v>
      </c>
      <c r="B38" s="47" t="s">
        <v>86</v>
      </c>
      <c r="C38" s="47">
        <v>8</v>
      </c>
      <c r="D38" s="47" t="s">
        <v>41</v>
      </c>
      <c r="E38" s="18">
        <f>INDEX(tblRarityConfig[Drop Probability],MATCH($D38,tblRarityConfig[Rarity],0))</f>
        <v>0.25</v>
      </c>
      <c r="F38" s="14">
        <f>INDEX(tblRarityConfig[Total Cards],MATCH($D38,tblRarityConfig[Rarity],0))</f>
        <v>27</v>
      </c>
      <c r="G38" s="18">
        <f t="shared" si="2"/>
        <v>9.2592592592592587E-3</v>
      </c>
      <c r="H38" s="32">
        <f>1-(1-G38)^INDEX(tblOverviewParameters[Value],MATCH("Cards per Pack",tblOverviewParameters[Parameter],0))</f>
        <v>3.6525801723521711E-2</v>
      </c>
      <c r="I38" s="33">
        <f t="shared" si="3"/>
        <v>27.377906926435095</v>
      </c>
    </row>
    <row r="39" spans="1:9" x14ac:dyDescent="0.2">
      <c r="A39" s="47" t="s">
        <v>94</v>
      </c>
      <c r="B39" s="47" t="s">
        <v>86</v>
      </c>
      <c r="C39" s="47">
        <v>9</v>
      </c>
      <c r="D39" s="47" t="s">
        <v>43</v>
      </c>
      <c r="E39" s="18">
        <f>INDEX(tblRarityConfig[Drop Probability],MATCH($D39,tblRarityConfig[Rarity],0))</f>
        <v>0.05</v>
      </c>
      <c r="F39" s="14">
        <f>INDEX(tblRarityConfig[Total Cards],MATCH($D39,tblRarityConfig[Rarity],0))</f>
        <v>9</v>
      </c>
      <c r="G39" s="18">
        <f t="shared" si="2"/>
        <v>5.5555555555555558E-3</v>
      </c>
      <c r="H39" s="32">
        <f>1-(1-G39)^INDEX(tblOverviewParameters[Value],MATCH("Cards per Pack",tblOverviewParameters[Parameter],0))</f>
        <v>2.2037721955494582E-2</v>
      </c>
      <c r="I39" s="33">
        <f t="shared" si="3"/>
        <v>45.376740936268767</v>
      </c>
    </row>
    <row r="40" spans="1:9" x14ac:dyDescent="0.2">
      <c r="A40" s="47" t="s">
        <v>95</v>
      </c>
      <c r="B40" s="47" t="s">
        <v>96</v>
      </c>
      <c r="C40" s="47">
        <v>1</v>
      </c>
      <c r="D40" s="47" t="s">
        <v>39</v>
      </c>
      <c r="E40" s="18">
        <f>INDEX(tblRarityConfig[Drop Probability],MATCH($D40,tblRarityConfig[Rarity],0))</f>
        <v>0.7</v>
      </c>
      <c r="F40" s="14">
        <f>INDEX(tblRarityConfig[Total Cards],MATCH($D40,tblRarityConfig[Rarity],0))</f>
        <v>45</v>
      </c>
      <c r="G40" s="18">
        <f t="shared" si="2"/>
        <v>1.5555555555555555E-2</v>
      </c>
      <c r="H40" s="32">
        <f>1-(1-G40)^INDEX(tblOverviewParameters[Value],MATCH("Cards per Pack",tblOverviewParameters[Parameter],0))</f>
        <v>6.078536805974688E-2</v>
      </c>
      <c r="I40" s="33">
        <f t="shared" si="3"/>
        <v>16.451327546739282</v>
      </c>
    </row>
    <row r="41" spans="1:9" x14ac:dyDescent="0.2">
      <c r="A41" s="47" t="s">
        <v>97</v>
      </c>
      <c r="B41" s="47" t="s">
        <v>96</v>
      </c>
      <c r="C41" s="47">
        <v>2</v>
      </c>
      <c r="D41" s="47" t="s">
        <v>39</v>
      </c>
      <c r="E41" s="18">
        <f>INDEX(tblRarityConfig[Drop Probability],MATCH($D41,tblRarityConfig[Rarity],0))</f>
        <v>0.7</v>
      </c>
      <c r="F41" s="14">
        <f>INDEX(tblRarityConfig[Total Cards],MATCH($D41,tblRarityConfig[Rarity],0))</f>
        <v>45</v>
      </c>
      <c r="G41" s="18">
        <f t="shared" si="2"/>
        <v>1.5555555555555555E-2</v>
      </c>
      <c r="H41" s="32">
        <f>1-(1-G41)^INDEX(tblOverviewParameters[Value],MATCH("Cards per Pack",tblOverviewParameters[Parameter],0))</f>
        <v>6.078536805974688E-2</v>
      </c>
      <c r="I41" s="33">
        <f t="shared" si="3"/>
        <v>16.451327546739282</v>
      </c>
    </row>
    <row r="42" spans="1:9" x14ac:dyDescent="0.2">
      <c r="A42" s="47" t="s">
        <v>98</v>
      </c>
      <c r="B42" s="47" t="s">
        <v>96</v>
      </c>
      <c r="C42" s="47">
        <v>3</v>
      </c>
      <c r="D42" s="47" t="s">
        <v>39</v>
      </c>
      <c r="E42" s="18">
        <f>INDEX(tblRarityConfig[Drop Probability],MATCH($D42,tblRarityConfig[Rarity],0))</f>
        <v>0.7</v>
      </c>
      <c r="F42" s="14">
        <f>INDEX(tblRarityConfig[Total Cards],MATCH($D42,tblRarityConfig[Rarity],0))</f>
        <v>45</v>
      </c>
      <c r="G42" s="18">
        <f t="shared" si="2"/>
        <v>1.5555555555555555E-2</v>
      </c>
      <c r="H42" s="32">
        <f>1-(1-G42)^INDEX(tblOverviewParameters[Value],MATCH("Cards per Pack",tblOverviewParameters[Parameter],0))</f>
        <v>6.078536805974688E-2</v>
      </c>
      <c r="I42" s="33">
        <f t="shared" si="3"/>
        <v>16.451327546739282</v>
      </c>
    </row>
    <row r="43" spans="1:9" x14ac:dyDescent="0.2">
      <c r="A43" s="47" t="s">
        <v>99</v>
      </c>
      <c r="B43" s="47" t="s">
        <v>96</v>
      </c>
      <c r="C43" s="47">
        <v>4</v>
      </c>
      <c r="D43" s="47" t="s">
        <v>39</v>
      </c>
      <c r="E43" s="18">
        <f>INDEX(tblRarityConfig[Drop Probability],MATCH($D43,tblRarityConfig[Rarity],0))</f>
        <v>0.7</v>
      </c>
      <c r="F43" s="14">
        <f>INDEX(tblRarityConfig[Total Cards],MATCH($D43,tblRarityConfig[Rarity],0))</f>
        <v>45</v>
      </c>
      <c r="G43" s="18">
        <f t="shared" si="2"/>
        <v>1.5555555555555555E-2</v>
      </c>
      <c r="H43" s="32">
        <f>1-(1-G43)^INDEX(tblOverviewParameters[Value],MATCH("Cards per Pack",tblOverviewParameters[Parameter],0))</f>
        <v>6.078536805974688E-2</v>
      </c>
      <c r="I43" s="33">
        <f t="shared" si="3"/>
        <v>16.451327546739282</v>
      </c>
    </row>
    <row r="44" spans="1:9" x14ac:dyDescent="0.2">
      <c r="A44" s="47" t="s">
        <v>100</v>
      </c>
      <c r="B44" s="47" t="s">
        <v>96</v>
      </c>
      <c r="C44" s="47">
        <v>5</v>
      </c>
      <c r="D44" s="47" t="s">
        <v>39</v>
      </c>
      <c r="E44" s="18">
        <f>INDEX(tblRarityConfig[Drop Probability],MATCH($D44,tblRarityConfig[Rarity],0))</f>
        <v>0.7</v>
      </c>
      <c r="F44" s="14">
        <f>INDEX(tblRarityConfig[Total Cards],MATCH($D44,tblRarityConfig[Rarity],0))</f>
        <v>45</v>
      </c>
      <c r="G44" s="18">
        <f t="shared" si="2"/>
        <v>1.5555555555555555E-2</v>
      </c>
      <c r="H44" s="32">
        <f>1-(1-G44)^INDEX(tblOverviewParameters[Value],MATCH("Cards per Pack",tblOverviewParameters[Parameter],0))</f>
        <v>6.078536805974688E-2</v>
      </c>
      <c r="I44" s="33">
        <f t="shared" si="3"/>
        <v>16.451327546739282</v>
      </c>
    </row>
    <row r="45" spans="1:9" x14ac:dyDescent="0.2">
      <c r="A45" s="47" t="s">
        <v>101</v>
      </c>
      <c r="B45" s="47" t="s">
        <v>96</v>
      </c>
      <c r="C45" s="47">
        <v>6</v>
      </c>
      <c r="D45" s="47" t="s">
        <v>41</v>
      </c>
      <c r="E45" s="18">
        <f>INDEX(tblRarityConfig[Drop Probability],MATCH($D45,tblRarityConfig[Rarity],0))</f>
        <v>0.25</v>
      </c>
      <c r="F45" s="14">
        <f>INDEX(tblRarityConfig[Total Cards],MATCH($D45,tblRarityConfig[Rarity],0))</f>
        <v>27</v>
      </c>
      <c r="G45" s="18">
        <f t="shared" si="2"/>
        <v>9.2592592592592587E-3</v>
      </c>
      <c r="H45" s="32">
        <f>1-(1-G45)^INDEX(tblOverviewParameters[Value],MATCH("Cards per Pack",tblOverviewParameters[Parameter],0))</f>
        <v>3.6525801723521711E-2</v>
      </c>
      <c r="I45" s="33">
        <f t="shared" si="3"/>
        <v>27.377906926435095</v>
      </c>
    </row>
    <row r="46" spans="1:9" x14ac:dyDescent="0.2">
      <c r="A46" s="47" t="s">
        <v>102</v>
      </c>
      <c r="B46" s="47" t="s">
        <v>96</v>
      </c>
      <c r="C46" s="47">
        <v>7</v>
      </c>
      <c r="D46" s="47" t="s">
        <v>41</v>
      </c>
      <c r="E46" s="18">
        <f>INDEX(tblRarityConfig[Drop Probability],MATCH($D46,tblRarityConfig[Rarity],0))</f>
        <v>0.25</v>
      </c>
      <c r="F46" s="14">
        <f>INDEX(tblRarityConfig[Total Cards],MATCH($D46,tblRarityConfig[Rarity],0))</f>
        <v>27</v>
      </c>
      <c r="G46" s="18">
        <f t="shared" si="2"/>
        <v>9.2592592592592587E-3</v>
      </c>
      <c r="H46" s="32">
        <f>1-(1-G46)^INDEX(tblOverviewParameters[Value],MATCH("Cards per Pack",tblOverviewParameters[Parameter],0))</f>
        <v>3.6525801723521711E-2</v>
      </c>
      <c r="I46" s="33">
        <f t="shared" si="3"/>
        <v>27.377906926435095</v>
      </c>
    </row>
    <row r="47" spans="1:9" x14ac:dyDescent="0.2">
      <c r="A47" s="47" t="s">
        <v>103</v>
      </c>
      <c r="B47" s="47" t="s">
        <v>96</v>
      </c>
      <c r="C47" s="47">
        <v>8</v>
      </c>
      <c r="D47" s="47" t="s">
        <v>41</v>
      </c>
      <c r="E47" s="18">
        <f>INDEX(tblRarityConfig[Drop Probability],MATCH($D47,tblRarityConfig[Rarity],0))</f>
        <v>0.25</v>
      </c>
      <c r="F47" s="14">
        <f>INDEX(tblRarityConfig[Total Cards],MATCH($D47,tblRarityConfig[Rarity],0))</f>
        <v>27</v>
      </c>
      <c r="G47" s="18">
        <f t="shared" si="2"/>
        <v>9.2592592592592587E-3</v>
      </c>
      <c r="H47" s="32">
        <f>1-(1-G47)^INDEX(tblOverviewParameters[Value],MATCH("Cards per Pack",tblOverviewParameters[Parameter],0))</f>
        <v>3.6525801723521711E-2</v>
      </c>
      <c r="I47" s="33">
        <f t="shared" si="3"/>
        <v>27.377906926435095</v>
      </c>
    </row>
    <row r="48" spans="1:9" x14ac:dyDescent="0.2">
      <c r="A48" s="47" t="s">
        <v>104</v>
      </c>
      <c r="B48" s="47" t="s">
        <v>96</v>
      </c>
      <c r="C48" s="47">
        <v>9</v>
      </c>
      <c r="D48" s="47" t="s">
        <v>43</v>
      </c>
      <c r="E48" s="18">
        <f>INDEX(tblRarityConfig[Drop Probability],MATCH($D48,tblRarityConfig[Rarity],0))</f>
        <v>0.05</v>
      </c>
      <c r="F48" s="14">
        <f>INDEX(tblRarityConfig[Total Cards],MATCH($D48,tblRarityConfig[Rarity],0))</f>
        <v>9</v>
      </c>
      <c r="G48" s="18">
        <f t="shared" si="2"/>
        <v>5.5555555555555558E-3</v>
      </c>
      <c r="H48" s="32">
        <f>1-(1-G48)^INDEX(tblOverviewParameters[Value],MATCH("Cards per Pack",tblOverviewParameters[Parameter],0))</f>
        <v>2.2037721955494582E-2</v>
      </c>
      <c r="I48" s="33">
        <f t="shared" si="3"/>
        <v>45.376740936268767</v>
      </c>
    </row>
    <row r="49" spans="1:9" x14ac:dyDescent="0.2">
      <c r="A49" s="47" t="s">
        <v>105</v>
      </c>
      <c r="B49" s="47" t="s">
        <v>106</v>
      </c>
      <c r="C49" s="47">
        <v>1</v>
      </c>
      <c r="D49" s="47" t="s">
        <v>39</v>
      </c>
      <c r="E49" s="18">
        <f>INDEX(tblRarityConfig[Drop Probability],MATCH($D49,tblRarityConfig[Rarity],0))</f>
        <v>0.7</v>
      </c>
      <c r="F49" s="14">
        <f>INDEX(tblRarityConfig[Total Cards],MATCH($D49,tblRarityConfig[Rarity],0))</f>
        <v>45</v>
      </c>
      <c r="G49" s="18">
        <f t="shared" si="2"/>
        <v>1.5555555555555555E-2</v>
      </c>
      <c r="H49" s="32">
        <f>1-(1-G49)^INDEX(tblOverviewParameters[Value],MATCH("Cards per Pack",tblOverviewParameters[Parameter],0))</f>
        <v>6.078536805974688E-2</v>
      </c>
      <c r="I49" s="33">
        <f t="shared" si="3"/>
        <v>16.451327546739282</v>
      </c>
    </row>
    <row r="50" spans="1:9" x14ac:dyDescent="0.2">
      <c r="A50" s="47" t="s">
        <v>107</v>
      </c>
      <c r="B50" s="47" t="s">
        <v>106</v>
      </c>
      <c r="C50" s="47">
        <v>2</v>
      </c>
      <c r="D50" s="47" t="s">
        <v>39</v>
      </c>
      <c r="E50" s="18">
        <f>INDEX(tblRarityConfig[Drop Probability],MATCH($D50,tblRarityConfig[Rarity],0))</f>
        <v>0.7</v>
      </c>
      <c r="F50" s="14">
        <f>INDEX(tblRarityConfig[Total Cards],MATCH($D50,tblRarityConfig[Rarity],0))</f>
        <v>45</v>
      </c>
      <c r="G50" s="18">
        <f t="shared" si="2"/>
        <v>1.5555555555555555E-2</v>
      </c>
      <c r="H50" s="32">
        <f>1-(1-G50)^INDEX(tblOverviewParameters[Value],MATCH("Cards per Pack",tblOverviewParameters[Parameter],0))</f>
        <v>6.078536805974688E-2</v>
      </c>
      <c r="I50" s="33">
        <f t="shared" si="3"/>
        <v>16.451327546739282</v>
      </c>
    </row>
    <row r="51" spans="1:9" x14ac:dyDescent="0.2">
      <c r="A51" s="47" t="s">
        <v>108</v>
      </c>
      <c r="B51" s="47" t="s">
        <v>106</v>
      </c>
      <c r="C51" s="47">
        <v>3</v>
      </c>
      <c r="D51" s="47" t="s">
        <v>39</v>
      </c>
      <c r="E51" s="18">
        <f>INDEX(tblRarityConfig[Drop Probability],MATCH($D51,tblRarityConfig[Rarity],0))</f>
        <v>0.7</v>
      </c>
      <c r="F51" s="14">
        <f>INDEX(tblRarityConfig[Total Cards],MATCH($D51,tblRarityConfig[Rarity],0))</f>
        <v>45</v>
      </c>
      <c r="G51" s="18">
        <f t="shared" si="2"/>
        <v>1.5555555555555555E-2</v>
      </c>
      <c r="H51" s="32">
        <f>1-(1-G51)^INDEX(tblOverviewParameters[Value],MATCH("Cards per Pack",tblOverviewParameters[Parameter],0))</f>
        <v>6.078536805974688E-2</v>
      </c>
      <c r="I51" s="33">
        <f t="shared" si="3"/>
        <v>16.451327546739282</v>
      </c>
    </row>
    <row r="52" spans="1:9" x14ac:dyDescent="0.2">
      <c r="A52" s="47" t="s">
        <v>109</v>
      </c>
      <c r="B52" s="47" t="s">
        <v>106</v>
      </c>
      <c r="C52" s="47">
        <v>4</v>
      </c>
      <c r="D52" s="47" t="s">
        <v>39</v>
      </c>
      <c r="E52" s="18">
        <f>INDEX(tblRarityConfig[Drop Probability],MATCH($D52,tblRarityConfig[Rarity],0))</f>
        <v>0.7</v>
      </c>
      <c r="F52" s="14">
        <f>INDEX(tblRarityConfig[Total Cards],MATCH($D52,tblRarityConfig[Rarity],0))</f>
        <v>45</v>
      </c>
      <c r="G52" s="18">
        <f t="shared" si="2"/>
        <v>1.5555555555555555E-2</v>
      </c>
      <c r="H52" s="32">
        <f>1-(1-G52)^INDEX(tblOverviewParameters[Value],MATCH("Cards per Pack",tblOverviewParameters[Parameter],0))</f>
        <v>6.078536805974688E-2</v>
      </c>
      <c r="I52" s="33">
        <f t="shared" si="3"/>
        <v>16.451327546739282</v>
      </c>
    </row>
    <row r="53" spans="1:9" x14ac:dyDescent="0.2">
      <c r="A53" s="47" t="s">
        <v>110</v>
      </c>
      <c r="B53" s="47" t="s">
        <v>106</v>
      </c>
      <c r="C53" s="47">
        <v>5</v>
      </c>
      <c r="D53" s="47" t="s">
        <v>39</v>
      </c>
      <c r="E53" s="18">
        <f>INDEX(tblRarityConfig[Drop Probability],MATCH($D53,tblRarityConfig[Rarity],0))</f>
        <v>0.7</v>
      </c>
      <c r="F53" s="14">
        <f>INDEX(tblRarityConfig[Total Cards],MATCH($D53,tblRarityConfig[Rarity],0))</f>
        <v>45</v>
      </c>
      <c r="G53" s="18">
        <f t="shared" si="2"/>
        <v>1.5555555555555555E-2</v>
      </c>
      <c r="H53" s="32">
        <f>1-(1-G53)^INDEX(tblOverviewParameters[Value],MATCH("Cards per Pack",tblOverviewParameters[Parameter],0))</f>
        <v>6.078536805974688E-2</v>
      </c>
      <c r="I53" s="33">
        <f t="shared" si="3"/>
        <v>16.451327546739282</v>
      </c>
    </row>
    <row r="54" spans="1:9" x14ac:dyDescent="0.2">
      <c r="A54" s="47" t="s">
        <v>111</v>
      </c>
      <c r="B54" s="47" t="s">
        <v>106</v>
      </c>
      <c r="C54" s="47">
        <v>6</v>
      </c>
      <c r="D54" s="47" t="s">
        <v>41</v>
      </c>
      <c r="E54" s="18">
        <f>INDEX(tblRarityConfig[Drop Probability],MATCH($D54,tblRarityConfig[Rarity],0))</f>
        <v>0.25</v>
      </c>
      <c r="F54" s="14">
        <f>INDEX(tblRarityConfig[Total Cards],MATCH($D54,tblRarityConfig[Rarity],0))</f>
        <v>27</v>
      </c>
      <c r="G54" s="18">
        <f t="shared" si="2"/>
        <v>9.2592592592592587E-3</v>
      </c>
      <c r="H54" s="32">
        <f>1-(1-G54)^INDEX(tblOverviewParameters[Value],MATCH("Cards per Pack",tblOverviewParameters[Parameter],0))</f>
        <v>3.6525801723521711E-2</v>
      </c>
      <c r="I54" s="33">
        <f t="shared" si="3"/>
        <v>27.377906926435095</v>
      </c>
    </row>
    <row r="55" spans="1:9" x14ac:dyDescent="0.2">
      <c r="A55" s="47" t="s">
        <v>112</v>
      </c>
      <c r="B55" s="47" t="s">
        <v>106</v>
      </c>
      <c r="C55" s="47">
        <v>7</v>
      </c>
      <c r="D55" s="47" t="s">
        <v>41</v>
      </c>
      <c r="E55" s="18">
        <f>INDEX(tblRarityConfig[Drop Probability],MATCH($D55,tblRarityConfig[Rarity],0))</f>
        <v>0.25</v>
      </c>
      <c r="F55" s="14">
        <f>INDEX(tblRarityConfig[Total Cards],MATCH($D55,tblRarityConfig[Rarity],0))</f>
        <v>27</v>
      </c>
      <c r="G55" s="18">
        <f t="shared" si="2"/>
        <v>9.2592592592592587E-3</v>
      </c>
      <c r="H55" s="32">
        <f>1-(1-G55)^INDEX(tblOverviewParameters[Value],MATCH("Cards per Pack",tblOverviewParameters[Parameter],0))</f>
        <v>3.6525801723521711E-2</v>
      </c>
      <c r="I55" s="33">
        <f t="shared" si="3"/>
        <v>27.377906926435095</v>
      </c>
    </row>
    <row r="56" spans="1:9" x14ac:dyDescent="0.2">
      <c r="A56" s="47" t="s">
        <v>113</v>
      </c>
      <c r="B56" s="47" t="s">
        <v>106</v>
      </c>
      <c r="C56" s="47">
        <v>8</v>
      </c>
      <c r="D56" s="47" t="s">
        <v>41</v>
      </c>
      <c r="E56" s="18">
        <f>INDEX(tblRarityConfig[Drop Probability],MATCH($D56,tblRarityConfig[Rarity],0))</f>
        <v>0.25</v>
      </c>
      <c r="F56" s="14">
        <f>INDEX(tblRarityConfig[Total Cards],MATCH($D56,tblRarityConfig[Rarity],0))</f>
        <v>27</v>
      </c>
      <c r="G56" s="18">
        <f t="shared" si="2"/>
        <v>9.2592592592592587E-3</v>
      </c>
      <c r="H56" s="32">
        <f>1-(1-G56)^INDEX(tblOverviewParameters[Value],MATCH("Cards per Pack",tblOverviewParameters[Parameter],0))</f>
        <v>3.6525801723521711E-2</v>
      </c>
      <c r="I56" s="33">
        <f t="shared" si="3"/>
        <v>27.377906926435095</v>
      </c>
    </row>
    <row r="57" spans="1:9" x14ac:dyDescent="0.2">
      <c r="A57" s="47" t="s">
        <v>114</v>
      </c>
      <c r="B57" s="47" t="s">
        <v>106</v>
      </c>
      <c r="C57" s="47">
        <v>9</v>
      </c>
      <c r="D57" s="47" t="s">
        <v>43</v>
      </c>
      <c r="E57" s="18">
        <f>INDEX(tblRarityConfig[Drop Probability],MATCH($D57,tblRarityConfig[Rarity],0))</f>
        <v>0.05</v>
      </c>
      <c r="F57" s="14">
        <f>INDEX(tblRarityConfig[Total Cards],MATCH($D57,tblRarityConfig[Rarity],0))</f>
        <v>9</v>
      </c>
      <c r="G57" s="18">
        <f t="shared" si="2"/>
        <v>5.5555555555555558E-3</v>
      </c>
      <c r="H57" s="32">
        <f>1-(1-G57)^INDEX(tblOverviewParameters[Value],MATCH("Cards per Pack",tblOverviewParameters[Parameter],0))</f>
        <v>2.2037721955494582E-2</v>
      </c>
      <c r="I57" s="33">
        <f t="shared" si="3"/>
        <v>45.376740936268767</v>
      </c>
    </row>
    <row r="58" spans="1:9" x14ac:dyDescent="0.2">
      <c r="A58" s="47" t="s">
        <v>115</v>
      </c>
      <c r="B58" s="47" t="s">
        <v>116</v>
      </c>
      <c r="C58" s="47">
        <v>1</v>
      </c>
      <c r="D58" s="47" t="s">
        <v>39</v>
      </c>
      <c r="E58" s="18">
        <f>INDEX(tblRarityConfig[Drop Probability],MATCH($D58,tblRarityConfig[Rarity],0))</f>
        <v>0.7</v>
      </c>
      <c r="F58" s="14">
        <f>INDEX(tblRarityConfig[Total Cards],MATCH($D58,tblRarityConfig[Rarity],0))</f>
        <v>45</v>
      </c>
      <c r="G58" s="18">
        <f t="shared" si="2"/>
        <v>1.5555555555555555E-2</v>
      </c>
      <c r="H58" s="32">
        <f>1-(1-G58)^INDEX(tblOverviewParameters[Value],MATCH("Cards per Pack",tblOverviewParameters[Parameter],0))</f>
        <v>6.078536805974688E-2</v>
      </c>
      <c r="I58" s="33">
        <f t="shared" si="3"/>
        <v>16.451327546739282</v>
      </c>
    </row>
    <row r="59" spans="1:9" x14ac:dyDescent="0.2">
      <c r="A59" s="47" t="s">
        <v>117</v>
      </c>
      <c r="B59" s="47" t="s">
        <v>116</v>
      </c>
      <c r="C59" s="47">
        <v>2</v>
      </c>
      <c r="D59" s="47" t="s">
        <v>39</v>
      </c>
      <c r="E59" s="18">
        <f>INDEX(tblRarityConfig[Drop Probability],MATCH($D59,tblRarityConfig[Rarity],0))</f>
        <v>0.7</v>
      </c>
      <c r="F59" s="14">
        <f>INDEX(tblRarityConfig[Total Cards],MATCH($D59,tblRarityConfig[Rarity],0))</f>
        <v>45</v>
      </c>
      <c r="G59" s="18">
        <f t="shared" si="2"/>
        <v>1.5555555555555555E-2</v>
      </c>
      <c r="H59" s="32">
        <f>1-(1-G59)^INDEX(tblOverviewParameters[Value],MATCH("Cards per Pack",tblOverviewParameters[Parameter],0))</f>
        <v>6.078536805974688E-2</v>
      </c>
      <c r="I59" s="33">
        <f t="shared" si="3"/>
        <v>16.451327546739282</v>
      </c>
    </row>
    <row r="60" spans="1:9" x14ac:dyDescent="0.2">
      <c r="A60" s="47" t="s">
        <v>118</v>
      </c>
      <c r="B60" s="47" t="s">
        <v>116</v>
      </c>
      <c r="C60" s="47">
        <v>3</v>
      </c>
      <c r="D60" s="47" t="s">
        <v>39</v>
      </c>
      <c r="E60" s="18">
        <f>INDEX(tblRarityConfig[Drop Probability],MATCH($D60,tblRarityConfig[Rarity],0))</f>
        <v>0.7</v>
      </c>
      <c r="F60" s="14">
        <f>INDEX(tblRarityConfig[Total Cards],MATCH($D60,tblRarityConfig[Rarity],0))</f>
        <v>45</v>
      </c>
      <c r="G60" s="18">
        <f t="shared" si="2"/>
        <v>1.5555555555555555E-2</v>
      </c>
      <c r="H60" s="32">
        <f>1-(1-G60)^INDEX(tblOverviewParameters[Value],MATCH("Cards per Pack",tblOverviewParameters[Parameter],0))</f>
        <v>6.078536805974688E-2</v>
      </c>
      <c r="I60" s="33">
        <f t="shared" si="3"/>
        <v>16.451327546739282</v>
      </c>
    </row>
    <row r="61" spans="1:9" x14ac:dyDescent="0.2">
      <c r="A61" s="47" t="s">
        <v>119</v>
      </c>
      <c r="B61" s="47" t="s">
        <v>116</v>
      </c>
      <c r="C61" s="47">
        <v>4</v>
      </c>
      <c r="D61" s="47" t="s">
        <v>39</v>
      </c>
      <c r="E61" s="18">
        <f>INDEX(tblRarityConfig[Drop Probability],MATCH($D61,tblRarityConfig[Rarity],0))</f>
        <v>0.7</v>
      </c>
      <c r="F61" s="14">
        <f>INDEX(tblRarityConfig[Total Cards],MATCH($D61,tblRarityConfig[Rarity],0))</f>
        <v>45</v>
      </c>
      <c r="G61" s="18">
        <f t="shared" si="2"/>
        <v>1.5555555555555555E-2</v>
      </c>
      <c r="H61" s="32">
        <f>1-(1-G61)^INDEX(tblOverviewParameters[Value],MATCH("Cards per Pack",tblOverviewParameters[Parameter],0))</f>
        <v>6.078536805974688E-2</v>
      </c>
      <c r="I61" s="33">
        <f t="shared" si="3"/>
        <v>16.451327546739282</v>
      </c>
    </row>
    <row r="62" spans="1:9" x14ac:dyDescent="0.2">
      <c r="A62" s="47" t="s">
        <v>120</v>
      </c>
      <c r="B62" s="47" t="s">
        <v>116</v>
      </c>
      <c r="C62" s="47">
        <v>5</v>
      </c>
      <c r="D62" s="47" t="s">
        <v>39</v>
      </c>
      <c r="E62" s="18">
        <f>INDEX(tblRarityConfig[Drop Probability],MATCH($D62,tblRarityConfig[Rarity],0))</f>
        <v>0.7</v>
      </c>
      <c r="F62" s="14">
        <f>INDEX(tblRarityConfig[Total Cards],MATCH($D62,tblRarityConfig[Rarity],0))</f>
        <v>45</v>
      </c>
      <c r="G62" s="18">
        <f t="shared" si="2"/>
        <v>1.5555555555555555E-2</v>
      </c>
      <c r="H62" s="32">
        <f>1-(1-G62)^INDEX(tblOverviewParameters[Value],MATCH("Cards per Pack",tblOverviewParameters[Parameter],0))</f>
        <v>6.078536805974688E-2</v>
      </c>
      <c r="I62" s="33">
        <f t="shared" si="3"/>
        <v>16.451327546739282</v>
      </c>
    </row>
    <row r="63" spans="1:9" x14ac:dyDescent="0.2">
      <c r="A63" s="47" t="s">
        <v>121</v>
      </c>
      <c r="B63" s="47" t="s">
        <v>116</v>
      </c>
      <c r="C63" s="47">
        <v>6</v>
      </c>
      <c r="D63" s="47" t="s">
        <v>41</v>
      </c>
      <c r="E63" s="18">
        <f>INDEX(tblRarityConfig[Drop Probability],MATCH($D63,tblRarityConfig[Rarity],0))</f>
        <v>0.25</v>
      </c>
      <c r="F63" s="14">
        <f>INDEX(tblRarityConfig[Total Cards],MATCH($D63,tblRarityConfig[Rarity],0))</f>
        <v>27</v>
      </c>
      <c r="G63" s="18">
        <f t="shared" si="2"/>
        <v>9.2592592592592587E-3</v>
      </c>
      <c r="H63" s="32">
        <f>1-(1-G63)^INDEX(tblOverviewParameters[Value],MATCH("Cards per Pack",tblOverviewParameters[Parameter],0))</f>
        <v>3.6525801723521711E-2</v>
      </c>
      <c r="I63" s="33">
        <f t="shared" si="3"/>
        <v>27.377906926435095</v>
      </c>
    </row>
    <row r="64" spans="1:9" x14ac:dyDescent="0.2">
      <c r="A64" s="47" t="s">
        <v>122</v>
      </c>
      <c r="B64" s="47" t="s">
        <v>116</v>
      </c>
      <c r="C64" s="47">
        <v>7</v>
      </c>
      <c r="D64" s="47" t="s">
        <v>41</v>
      </c>
      <c r="E64" s="18">
        <f>INDEX(tblRarityConfig[Drop Probability],MATCH($D64,tblRarityConfig[Rarity],0))</f>
        <v>0.25</v>
      </c>
      <c r="F64" s="14">
        <f>INDEX(tblRarityConfig[Total Cards],MATCH($D64,tblRarityConfig[Rarity],0))</f>
        <v>27</v>
      </c>
      <c r="G64" s="18">
        <f t="shared" si="2"/>
        <v>9.2592592592592587E-3</v>
      </c>
      <c r="H64" s="32">
        <f>1-(1-G64)^INDEX(tblOverviewParameters[Value],MATCH("Cards per Pack",tblOverviewParameters[Parameter],0))</f>
        <v>3.6525801723521711E-2</v>
      </c>
      <c r="I64" s="33">
        <f t="shared" si="3"/>
        <v>27.377906926435095</v>
      </c>
    </row>
    <row r="65" spans="1:9" x14ac:dyDescent="0.2">
      <c r="A65" s="47" t="s">
        <v>123</v>
      </c>
      <c r="B65" s="47" t="s">
        <v>116</v>
      </c>
      <c r="C65" s="47">
        <v>8</v>
      </c>
      <c r="D65" s="47" t="s">
        <v>41</v>
      </c>
      <c r="E65" s="18">
        <f>INDEX(tblRarityConfig[Drop Probability],MATCH($D65,tblRarityConfig[Rarity],0))</f>
        <v>0.25</v>
      </c>
      <c r="F65" s="14">
        <f>INDEX(tblRarityConfig[Total Cards],MATCH($D65,tblRarityConfig[Rarity],0))</f>
        <v>27</v>
      </c>
      <c r="G65" s="18">
        <f t="shared" si="2"/>
        <v>9.2592592592592587E-3</v>
      </c>
      <c r="H65" s="32">
        <f>1-(1-G65)^INDEX(tblOverviewParameters[Value],MATCH("Cards per Pack",tblOverviewParameters[Parameter],0))</f>
        <v>3.6525801723521711E-2</v>
      </c>
      <c r="I65" s="33">
        <f t="shared" si="3"/>
        <v>27.377906926435095</v>
      </c>
    </row>
    <row r="66" spans="1:9" x14ac:dyDescent="0.2">
      <c r="A66" s="47" t="s">
        <v>124</v>
      </c>
      <c r="B66" s="47" t="s">
        <v>116</v>
      </c>
      <c r="C66" s="47">
        <v>9</v>
      </c>
      <c r="D66" s="47" t="s">
        <v>43</v>
      </c>
      <c r="E66" s="18">
        <f>INDEX(tblRarityConfig[Drop Probability],MATCH($D66,tblRarityConfig[Rarity],0))</f>
        <v>0.05</v>
      </c>
      <c r="F66" s="14">
        <f>INDEX(tblRarityConfig[Total Cards],MATCH($D66,tblRarityConfig[Rarity],0))</f>
        <v>9</v>
      </c>
      <c r="G66" s="18">
        <f t="shared" si="2"/>
        <v>5.5555555555555558E-3</v>
      </c>
      <c r="H66" s="32">
        <f>1-(1-G66)^INDEX(tblOverviewParameters[Value],MATCH("Cards per Pack",tblOverviewParameters[Parameter],0))</f>
        <v>2.2037721955494582E-2</v>
      </c>
      <c r="I66" s="33">
        <f t="shared" si="3"/>
        <v>45.376740936268767</v>
      </c>
    </row>
    <row r="67" spans="1:9" x14ac:dyDescent="0.2">
      <c r="A67" s="47" t="s">
        <v>125</v>
      </c>
      <c r="B67" s="47" t="s">
        <v>126</v>
      </c>
      <c r="C67" s="47">
        <v>1</v>
      </c>
      <c r="D67" s="47" t="s">
        <v>39</v>
      </c>
      <c r="E67" s="18">
        <f>INDEX(tblRarityConfig[Drop Probability],MATCH($D67,tblRarityConfig[Rarity],0))</f>
        <v>0.7</v>
      </c>
      <c r="F67" s="14">
        <f>INDEX(tblRarityConfig[Total Cards],MATCH($D67,tblRarityConfig[Rarity],0))</f>
        <v>45</v>
      </c>
      <c r="G67" s="18">
        <f t="shared" si="2"/>
        <v>1.5555555555555555E-2</v>
      </c>
      <c r="H67" s="32">
        <f>1-(1-G67)^INDEX(tblOverviewParameters[Value],MATCH("Cards per Pack",tblOverviewParameters[Parameter],0))</f>
        <v>6.078536805974688E-2</v>
      </c>
      <c r="I67" s="33">
        <f t="shared" si="3"/>
        <v>16.451327546739282</v>
      </c>
    </row>
    <row r="68" spans="1:9" x14ac:dyDescent="0.2">
      <c r="A68" s="47" t="s">
        <v>127</v>
      </c>
      <c r="B68" s="47" t="s">
        <v>126</v>
      </c>
      <c r="C68" s="47">
        <v>2</v>
      </c>
      <c r="D68" s="47" t="s">
        <v>39</v>
      </c>
      <c r="E68" s="18">
        <f>INDEX(tblRarityConfig[Drop Probability],MATCH($D68,tblRarityConfig[Rarity],0))</f>
        <v>0.7</v>
      </c>
      <c r="F68" s="14">
        <f>INDEX(tblRarityConfig[Total Cards],MATCH($D68,tblRarityConfig[Rarity],0))</f>
        <v>45</v>
      </c>
      <c r="G68" s="18">
        <f t="shared" ref="G68:G84" si="4">E68/F68</f>
        <v>1.5555555555555555E-2</v>
      </c>
      <c r="H68" s="32">
        <f>1-(1-G68)^INDEX(tblOverviewParameters[Value],MATCH("Cards per Pack",tblOverviewParameters[Parameter],0))</f>
        <v>6.078536805974688E-2</v>
      </c>
      <c r="I68" s="33">
        <f t="shared" ref="I68:I84" si="5">1/H68</f>
        <v>16.451327546739282</v>
      </c>
    </row>
    <row r="69" spans="1:9" x14ac:dyDescent="0.2">
      <c r="A69" s="47" t="s">
        <v>128</v>
      </c>
      <c r="B69" s="47" t="s">
        <v>126</v>
      </c>
      <c r="C69" s="47">
        <v>3</v>
      </c>
      <c r="D69" s="47" t="s">
        <v>39</v>
      </c>
      <c r="E69" s="18">
        <f>INDEX(tblRarityConfig[Drop Probability],MATCH($D69,tblRarityConfig[Rarity],0))</f>
        <v>0.7</v>
      </c>
      <c r="F69" s="14">
        <f>INDEX(tblRarityConfig[Total Cards],MATCH($D69,tblRarityConfig[Rarity],0))</f>
        <v>45</v>
      </c>
      <c r="G69" s="18">
        <f t="shared" si="4"/>
        <v>1.5555555555555555E-2</v>
      </c>
      <c r="H69" s="32">
        <f>1-(1-G69)^INDEX(tblOverviewParameters[Value],MATCH("Cards per Pack",tblOverviewParameters[Parameter],0))</f>
        <v>6.078536805974688E-2</v>
      </c>
      <c r="I69" s="33">
        <f t="shared" si="5"/>
        <v>16.451327546739282</v>
      </c>
    </row>
    <row r="70" spans="1:9" x14ac:dyDescent="0.2">
      <c r="A70" s="47" t="s">
        <v>129</v>
      </c>
      <c r="B70" s="47" t="s">
        <v>126</v>
      </c>
      <c r="C70" s="47">
        <v>4</v>
      </c>
      <c r="D70" s="47" t="s">
        <v>39</v>
      </c>
      <c r="E70" s="18">
        <f>INDEX(tblRarityConfig[Drop Probability],MATCH($D70,tblRarityConfig[Rarity],0))</f>
        <v>0.7</v>
      </c>
      <c r="F70" s="14">
        <f>INDEX(tblRarityConfig[Total Cards],MATCH($D70,tblRarityConfig[Rarity],0))</f>
        <v>45</v>
      </c>
      <c r="G70" s="18">
        <f t="shared" si="4"/>
        <v>1.5555555555555555E-2</v>
      </c>
      <c r="H70" s="32">
        <f>1-(1-G70)^INDEX(tblOverviewParameters[Value],MATCH("Cards per Pack",tblOverviewParameters[Parameter],0))</f>
        <v>6.078536805974688E-2</v>
      </c>
      <c r="I70" s="33">
        <f t="shared" si="5"/>
        <v>16.451327546739282</v>
      </c>
    </row>
    <row r="71" spans="1:9" x14ac:dyDescent="0.2">
      <c r="A71" s="47" t="s">
        <v>130</v>
      </c>
      <c r="B71" s="47" t="s">
        <v>126</v>
      </c>
      <c r="C71" s="47">
        <v>5</v>
      </c>
      <c r="D71" s="47" t="s">
        <v>39</v>
      </c>
      <c r="E71" s="18">
        <f>INDEX(tblRarityConfig[Drop Probability],MATCH($D71,tblRarityConfig[Rarity],0))</f>
        <v>0.7</v>
      </c>
      <c r="F71" s="14">
        <f>INDEX(tblRarityConfig[Total Cards],MATCH($D71,tblRarityConfig[Rarity],0))</f>
        <v>45</v>
      </c>
      <c r="G71" s="18">
        <f t="shared" si="4"/>
        <v>1.5555555555555555E-2</v>
      </c>
      <c r="H71" s="32">
        <f>1-(1-G71)^INDEX(tblOverviewParameters[Value],MATCH("Cards per Pack",tblOverviewParameters[Parameter],0))</f>
        <v>6.078536805974688E-2</v>
      </c>
      <c r="I71" s="33">
        <f t="shared" si="5"/>
        <v>16.451327546739282</v>
      </c>
    </row>
    <row r="72" spans="1:9" x14ac:dyDescent="0.2">
      <c r="A72" s="47" t="s">
        <v>131</v>
      </c>
      <c r="B72" s="47" t="s">
        <v>126</v>
      </c>
      <c r="C72" s="47">
        <v>6</v>
      </c>
      <c r="D72" s="47" t="s">
        <v>41</v>
      </c>
      <c r="E72" s="18">
        <f>INDEX(tblRarityConfig[Drop Probability],MATCH($D72,tblRarityConfig[Rarity],0))</f>
        <v>0.25</v>
      </c>
      <c r="F72" s="14">
        <f>INDEX(tblRarityConfig[Total Cards],MATCH($D72,tblRarityConfig[Rarity],0))</f>
        <v>27</v>
      </c>
      <c r="G72" s="18">
        <f t="shared" si="4"/>
        <v>9.2592592592592587E-3</v>
      </c>
      <c r="H72" s="32">
        <f>1-(1-G72)^INDEX(tblOverviewParameters[Value],MATCH("Cards per Pack",tblOverviewParameters[Parameter],0))</f>
        <v>3.6525801723521711E-2</v>
      </c>
      <c r="I72" s="33">
        <f t="shared" si="5"/>
        <v>27.377906926435095</v>
      </c>
    </row>
    <row r="73" spans="1:9" x14ac:dyDescent="0.2">
      <c r="A73" s="47" t="s">
        <v>132</v>
      </c>
      <c r="B73" s="47" t="s">
        <v>126</v>
      </c>
      <c r="C73" s="47">
        <v>7</v>
      </c>
      <c r="D73" s="47" t="s">
        <v>41</v>
      </c>
      <c r="E73" s="18">
        <f>INDEX(tblRarityConfig[Drop Probability],MATCH($D73,tblRarityConfig[Rarity],0))</f>
        <v>0.25</v>
      </c>
      <c r="F73" s="14">
        <f>INDEX(tblRarityConfig[Total Cards],MATCH($D73,tblRarityConfig[Rarity],0))</f>
        <v>27</v>
      </c>
      <c r="G73" s="18">
        <f t="shared" si="4"/>
        <v>9.2592592592592587E-3</v>
      </c>
      <c r="H73" s="32">
        <f>1-(1-G73)^INDEX(tblOverviewParameters[Value],MATCH("Cards per Pack",tblOverviewParameters[Parameter],0))</f>
        <v>3.6525801723521711E-2</v>
      </c>
      <c r="I73" s="33">
        <f t="shared" si="5"/>
        <v>27.377906926435095</v>
      </c>
    </row>
    <row r="74" spans="1:9" x14ac:dyDescent="0.2">
      <c r="A74" s="47" t="s">
        <v>133</v>
      </c>
      <c r="B74" s="47" t="s">
        <v>126</v>
      </c>
      <c r="C74" s="47">
        <v>8</v>
      </c>
      <c r="D74" s="47" t="s">
        <v>41</v>
      </c>
      <c r="E74" s="18">
        <f>INDEX(tblRarityConfig[Drop Probability],MATCH($D74,tblRarityConfig[Rarity],0))</f>
        <v>0.25</v>
      </c>
      <c r="F74" s="14">
        <f>INDEX(tblRarityConfig[Total Cards],MATCH($D74,tblRarityConfig[Rarity],0))</f>
        <v>27</v>
      </c>
      <c r="G74" s="18">
        <f t="shared" si="4"/>
        <v>9.2592592592592587E-3</v>
      </c>
      <c r="H74" s="32">
        <f>1-(1-G74)^INDEX(tblOverviewParameters[Value],MATCH("Cards per Pack",tblOverviewParameters[Parameter],0))</f>
        <v>3.6525801723521711E-2</v>
      </c>
      <c r="I74" s="33">
        <f t="shared" si="5"/>
        <v>27.377906926435095</v>
      </c>
    </row>
    <row r="75" spans="1:9" x14ac:dyDescent="0.2">
      <c r="A75" s="47" t="s">
        <v>134</v>
      </c>
      <c r="B75" s="47" t="s">
        <v>126</v>
      </c>
      <c r="C75" s="47">
        <v>9</v>
      </c>
      <c r="D75" s="47" t="s">
        <v>43</v>
      </c>
      <c r="E75" s="18">
        <f>INDEX(tblRarityConfig[Drop Probability],MATCH($D75,tblRarityConfig[Rarity],0))</f>
        <v>0.05</v>
      </c>
      <c r="F75" s="14">
        <f>INDEX(tblRarityConfig[Total Cards],MATCH($D75,tblRarityConfig[Rarity],0))</f>
        <v>9</v>
      </c>
      <c r="G75" s="18">
        <f t="shared" si="4"/>
        <v>5.5555555555555558E-3</v>
      </c>
      <c r="H75" s="32">
        <f>1-(1-G75)^INDEX(tblOverviewParameters[Value],MATCH("Cards per Pack",tblOverviewParameters[Parameter],0))</f>
        <v>2.2037721955494582E-2</v>
      </c>
      <c r="I75" s="33">
        <f t="shared" si="5"/>
        <v>45.376740936268767</v>
      </c>
    </row>
    <row r="76" spans="1:9" x14ac:dyDescent="0.2">
      <c r="A76" s="47" t="s">
        <v>135</v>
      </c>
      <c r="B76" s="47" t="s">
        <v>136</v>
      </c>
      <c r="C76" s="47">
        <v>1</v>
      </c>
      <c r="D76" s="47" t="s">
        <v>39</v>
      </c>
      <c r="E76" s="18">
        <f>INDEX(tblRarityConfig[Drop Probability],MATCH($D76,tblRarityConfig[Rarity],0))</f>
        <v>0.7</v>
      </c>
      <c r="F76" s="14">
        <f>INDEX(tblRarityConfig[Total Cards],MATCH($D76,tblRarityConfig[Rarity],0))</f>
        <v>45</v>
      </c>
      <c r="G76" s="18">
        <f t="shared" si="4"/>
        <v>1.5555555555555555E-2</v>
      </c>
      <c r="H76" s="32">
        <f>1-(1-G76)^INDEX(tblOverviewParameters[Value],MATCH("Cards per Pack",tblOverviewParameters[Parameter],0))</f>
        <v>6.078536805974688E-2</v>
      </c>
      <c r="I76" s="33">
        <f t="shared" si="5"/>
        <v>16.451327546739282</v>
      </c>
    </row>
    <row r="77" spans="1:9" x14ac:dyDescent="0.2">
      <c r="A77" s="47" t="s">
        <v>137</v>
      </c>
      <c r="B77" s="47" t="s">
        <v>136</v>
      </c>
      <c r="C77" s="47">
        <v>2</v>
      </c>
      <c r="D77" s="47" t="s">
        <v>39</v>
      </c>
      <c r="E77" s="18">
        <f>INDEX(tblRarityConfig[Drop Probability],MATCH($D77,tblRarityConfig[Rarity],0))</f>
        <v>0.7</v>
      </c>
      <c r="F77" s="14">
        <f>INDEX(tblRarityConfig[Total Cards],MATCH($D77,tblRarityConfig[Rarity],0))</f>
        <v>45</v>
      </c>
      <c r="G77" s="18">
        <f t="shared" si="4"/>
        <v>1.5555555555555555E-2</v>
      </c>
      <c r="H77" s="32">
        <f>1-(1-G77)^INDEX(tblOverviewParameters[Value],MATCH("Cards per Pack",tblOverviewParameters[Parameter],0))</f>
        <v>6.078536805974688E-2</v>
      </c>
      <c r="I77" s="33">
        <f t="shared" si="5"/>
        <v>16.451327546739282</v>
      </c>
    </row>
    <row r="78" spans="1:9" x14ac:dyDescent="0.2">
      <c r="A78" s="47" t="s">
        <v>138</v>
      </c>
      <c r="B78" s="47" t="s">
        <v>136</v>
      </c>
      <c r="C78" s="47">
        <v>3</v>
      </c>
      <c r="D78" s="47" t="s">
        <v>39</v>
      </c>
      <c r="E78" s="18">
        <f>INDEX(tblRarityConfig[Drop Probability],MATCH($D78,tblRarityConfig[Rarity],0))</f>
        <v>0.7</v>
      </c>
      <c r="F78" s="14">
        <f>INDEX(tblRarityConfig[Total Cards],MATCH($D78,tblRarityConfig[Rarity],0))</f>
        <v>45</v>
      </c>
      <c r="G78" s="18">
        <f t="shared" si="4"/>
        <v>1.5555555555555555E-2</v>
      </c>
      <c r="H78" s="32">
        <f>1-(1-G78)^INDEX(tblOverviewParameters[Value],MATCH("Cards per Pack",tblOverviewParameters[Parameter],0))</f>
        <v>6.078536805974688E-2</v>
      </c>
      <c r="I78" s="33">
        <f t="shared" si="5"/>
        <v>16.451327546739282</v>
      </c>
    </row>
    <row r="79" spans="1:9" x14ac:dyDescent="0.2">
      <c r="A79" s="47" t="s">
        <v>139</v>
      </c>
      <c r="B79" s="47" t="s">
        <v>136</v>
      </c>
      <c r="C79" s="47">
        <v>4</v>
      </c>
      <c r="D79" s="47" t="s">
        <v>39</v>
      </c>
      <c r="E79" s="18">
        <f>INDEX(tblRarityConfig[Drop Probability],MATCH($D79,tblRarityConfig[Rarity],0))</f>
        <v>0.7</v>
      </c>
      <c r="F79" s="14">
        <f>INDEX(tblRarityConfig[Total Cards],MATCH($D79,tblRarityConfig[Rarity],0))</f>
        <v>45</v>
      </c>
      <c r="G79" s="18">
        <f t="shared" si="4"/>
        <v>1.5555555555555555E-2</v>
      </c>
      <c r="H79" s="32">
        <f>1-(1-G79)^INDEX(tblOverviewParameters[Value],MATCH("Cards per Pack",tblOverviewParameters[Parameter],0))</f>
        <v>6.078536805974688E-2</v>
      </c>
      <c r="I79" s="33">
        <f t="shared" si="5"/>
        <v>16.451327546739282</v>
      </c>
    </row>
    <row r="80" spans="1:9" x14ac:dyDescent="0.2">
      <c r="A80" s="47" t="s">
        <v>140</v>
      </c>
      <c r="B80" s="47" t="s">
        <v>136</v>
      </c>
      <c r="C80" s="47">
        <v>5</v>
      </c>
      <c r="D80" s="47" t="s">
        <v>39</v>
      </c>
      <c r="E80" s="18">
        <f>INDEX(tblRarityConfig[Drop Probability],MATCH($D80,tblRarityConfig[Rarity],0))</f>
        <v>0.7</v>
      </c>
      <c r="F80" s="14">
        <f>INDEX(tblRarityConfig[Total Cards],MATCH($D80,tblRarityConfig[Rarity],0))</f>
        <v>45</v>
      </c>
      <c r="G80" s="18">
        <f t="shared" si="4"/>
        <v>1.5555555555555555E-2</v>
      </c>
      <c r="H80" s="32">
        <f>1-(1-G80)^INDEX(tblOverviewParameters[Value],MATCH("Cards per Pack",tblOverviewParameters[Parameter],0))</f>
        <v>6.078536805974688E-2</v>
      </c>
      <c r="I80" s="33">
        <f t="shared" si="5"/>
        <v>16.451327546739282</v>
      </c>
    </row>
    <row r="81" spans="1:9" x14ac:dyDescent="0.2">
      <c r="A81" s="47" t="s">
        <v>141</v>
      </c>
      <c r="B81" s="47" t="s">
        <v>136</v>
      </c>
      <c r="C81" s="47">
        <v>6</v>
      </c>
      <c r="D81" s="47" t="s">
        <v>41</v>
      </c>
      <c r="E81" s="18">
        <f>INDEX(tblRarityConfig[Drop Probability],MATCH($D81,tblRarityConfig[Rarity],0))</f>
        <v>0.25</v>
      </c>
      <c r="F81" s="14">
        <f>INDEX(tblRarityConfig[Total Cards],MATCH($D81,tblRarityConfig[Rarity],0))</f>
        <v>27</v>
      </c>
      <c r="G81" s="18">
        <f t="shared" si="4"/>
        <v>9.2592592592592587E-3</v>
      </c>
      <c r="H81" s="32">
        <f>1-(1-G81)^INDEX(tblOverviewParameters[Value],MATCH("Cards per Pack",tblOverviewParameters[Parameter],0))</f>
        <v>3.6525801723521711E-2</v>
      </c>
      <c r="I81" s="33">
        <f t="shared" si="5"/>
        <v>27.377906926435095</v>
      </c>
    </row>
    <row r="82" spans="1:9" x14ac:dyDescent="0.2">
      <c r="A82" s="47" t="s">
        <v>142</v>
      </c>
      <c r="B82" s="47" t="s">
        <v>136</v>
      </c>
      <c r="C82" s="47">
        <v>7</v>
      </c>
      <c r="D82" s="47" t="s">
        <v>41</v>
      </c>
      <c r="E82" s="18">
        <f>INDEX(tblRarityConfig[Drop Probability],MATCH($D82,tblRarityConfig[Rarity],0))</f>
        <v>0.25</v>
      </c>
      <c r="F82" s="14">
        <f>INDEX(tblRarityConfig[Total Cards],MATCH($D82,tblRarityConfig[Rarity],0))</f>
        <v>27</v>
      </c>
      <c r="G82" s="18">
        <f t="shared" si="4"/>
        <v>9.2592592592592587E-3</v>
      </c>
      <c r="H82" s="32">
        <f>1-(1-G82)^INDEX(tblOverviewParameters[Value],MATCH("Cards per Pack",tblOverviewParameters[Parameter],0))</f>
        <v>3.6525801723521711E-2</v>
      </c>
      <c r="I82" s="33">
        <f t="shared" si="5"/>
        <v>27.377906926435095</v>
      </c>
    </row>
    <row r="83" spans="1:9" x14ac:dyDescent="0.2">
      <c r="A83" s="47" t="s">
        <v>143</v>
      </c>
      <c r="B83" s="47" t="s">
        <v>136</v>
      </c>
      <c r="C83" s="47">
        <v>8</v>
      </c>
      <c r="D83" s="47" t="s">
        <v>41</v>
      </c>
      <c r="E83" s="18">
        <f>INDEX(tblRarityConfig[Drop Probability],MATCH($D83,tblRarityConfig[Rarity],0))</f>
        <v>0.25</v>
      </c>
      <c r="F83" s="14">
        <f>INDEX(tblRarityConfig[Total Cards],MATCH($D83,tblRarityConfig[Rarity],0))</f>
        <v>27</v>
      </c>
      <c r="G83" s="18">
        <f t="shared" si="4"/>
        <v>9.2592592592592587E-3</v>
      </c>
      <c r="H83" s="32">
        <f>1-(1-G83)^INDEX(tblOverviewParameters[Value],MATCH("Cards per Pack",tblOverviewParameters[Parameter],0))</f>
        <v>3.6525801723521711E-2</v>
      </c>
      <c r="I83" s="33">
        <f t="shared" si="5"/>
        <v>27.377906926435095</v>
      </c>
    </row>
    <row r="84" spans="1:9" x14ac:dyDescent="0.2">
      <c r="A84" s="47" t="s">
        <v>144</v>
      </c>
      <c r="B84" s="47" t="s">
        <v>136</v>
      </c>
      <c r="C84" s="47">
        <v>9</v>
      </c>
      <c r="D84" s="47" t="s">
        <v>43</v>
      </c>
      <c r="E84" s="18">
        <f>INDEX(tblRarityConfig[Drop Probability],MATCH($D84,tblRarityConfig[Rarity],0))</f>
        <v>0.05</v>
      </c>
      <c r="F84" s="14">
        <f>INDEX(tblRarityConfig[Total Cards],MATCH($D84,tblRarityConfig[Rarity],0))</f>
        <v>9</v>
      </c>
      <c r="G84" s="18">
        <f t="shared" si="4"/>
        <v>5.5555555555555558E-3</v>
      </c>
      <c r="H84" s="32">
        <f>1-(1-G84)^INDEX(tblOverviewParameters[Value],MATCH("Cards per Pack",tblOverviewParameters[Parameter],0))</f>
        <v>2.2037721955494582E-2</v>
      </c>
      <c r="I84" s="33">
        <f t="shared" si="5"/>
        <v>45.376740936268767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B456-A581-0E42-97F6-E30CF9091E87}">
  <sheetPr>
    <tabColor rgb="FFED7D31"/>
  </sheetPr>
  <dimension ref="A1:H16"/>
  <sheetViews>
    <sheetView showGridLines="0" rightToLeft="1" tabSelected="1" zoomScale="65" workbookViewId="0">
      <pane ySplit="1" topLeftCell="A2" activePane="bottomLeft" state="frozen"/>
      <selection pane="bottomLeft" activeCell="E17" sqref="E17"/>
    </sheetView>
  </sheetViews>
  <sheetFormatPr baseColWidth="10" defaultRowHeight="16" x14ac:dyDescent="0.2"/>
  <cols>
    <col min="1" max="1" width="32.85546875" customWidth="1"/>
    <col min="2" max="2" width="41.42578125" customWidth="1"/>
    <col min="3" max="3" width="20.7109375" customWidth="1"/>
    <col min="4" max="5" width="32.140625" customWidth="1"/>
    <col min="7" max="7" width="13.5703125" customWidth="1"/>
    <col min="8" max="8" width="20.7109375" customWidth="1"/>
  </cols>
  <sheetData>
    <row r="1" spans="1:8" ht="26" customHeight="1" x14ac:dyDescent="0.25">
      <c r="A1" s="49" t="s">
        <v>145</v>
      </c>
      <c r="B1" s="49"/>
      <c r="C1" s="49"/>
      <c r="D1" s="49"/>
      <c r="E1" s="49"/>
      <c r="F1" s="49"/>
      <c r="G1" s="49"/>
      <c r="H1" s="49"/>
    </row>
    <row r="2" spans="1:8" ht="34" x14ac:dyDescent="0.2">
      <c r="A2" s="27" t="s">
        <v>146</v>
      </c>
      <c r="B2" s="27"/>
      <c r="C2" s="27"/>
      <c r="D2" s="27"/>
      <c r="E2" s="27"/>
      <c r="F2" s="27"/>
      <c r="G2" s="27"/>
      <c r="H2" s="27"/>
    </row>
    <row r="3" spans="1:8" ht="17" x14ac:dyDescent="0.2">
      <c r="A3" s="28" t="s">
        <v>2</v>
      </c>
      <c r="B3" s="28" t="s">
        <v>3</v>
      </c>
    </row>
    <row r="4" spans="1:8" ht="17" x14ac:dyDescent="0.2">
      <c r="A4" s="29" t="s">
        <v>8</v>
      </c>
      <c r="B4" s="34">
        <f>INDEX(tblOverviewParameters[Value],MATCH("Cards per Pack",tblOverviewParameters[Parameter],0))</f>
        <v>4</v>
      </c>
    </row>
    <row r="5" spans="1:8" ht="17" x14ac:dyDescent="0.2">
      <c r="A5" s="24" t="s">
        <v>147</v>
      </c>
      <c r="B5" s="35" t="s">
        <v>148</v>
      </c>
    </row>
    <row r="6" spans="1:8" ht="17" x14ac:dyDescent="0.2">
      <c r="A6" s="24" t="s">
        <v>149</v>
      </c>
      <c r="B6" s="35" t="s">
        <v>150</v>
      </c>
    </row>
    <row r="7" spans="1:8" ht="17" x14ac:dyDescent="0.2">
      <c r="A7" s="24" t="s">
        <v>12</v>
      </c>
      <c r="B7" s="35" t="s">
        <v>13</v>
      </c>
    </row>
    <row r="8" spans="1:8" ht="17" x14ac:dyDescent="0.2">
      <c r="A8" s="24" t="s">
        <v>14</v>
      </c>
      <c r="B8" s="35" t="s">
        <v>13</v>
      </c>
    </row>
    <row r="9" spans="1:8" ht="17" x14ac:dyDescent="0.2">
      <c r="A9" s="24" t="s">
        <v>151</v>
      </c>
      <c r="B9" s="35" t="s">
        <v>16</v>
      </c>
    </row>
    <row r="10" spans="1:8" ht="17" x14ac:dyDescent="0.2">
      <c r="A10" s="36" t="s">
        <v>152</v>
      </c>
      <c r="B10" s="37" t="s">
        <v>18</v>
      </c>
    </row>
    <row r="13" spans="1:8" ht="62" customHeight="1" x14ac:dyDescent="0.2">
      <c r="A13" s="28" t="s">
        <v>32</v>
      </c>
      <c r="B13" s="28" t="s">
        <v>52</v>
      </c>
      <c r="C13" s="28" t="s">
        <v>34</v>
      </c>
      <c r="D13" s="28" t="s">
        <v>153</v>
      </c>
      <c r="E13" s="28" t="s">
        <v>154</v>
      </c>
      <c r="G13" s="28" t="s">
        <v>32</v>
      </c>
      <c r="H13" s="28" t="s">
        <v>34</v>
      </c>
    </row>
    <row r="14" spans="1:8" ht="17" x14ac:dyDescent="0.2">
      <c r="A14" s="38" t="str">
        <f>INDEX(tblRarityConfig[Rarity],1)</f>
        <v>Common</v>
      </c>
      <c r="B14" s="39">
        <f>INDEX(tblRarityConfig[Drop Probability],1)</f>
        <v>0.7</v>
      </c>
      <c r="C14" s="40">
        <f>B14*$B$4</f>
        <v>2.8</v>
      </c>
      <c r="D14" s="39">
        <f>1-(1-B14)^$B$4</f>
        <v>0.9919</v>
      </c>
      <c r="E14" s="39">
        <f>(1-B14)^$B$4</f>
        <v>8.1000000000000048E-3</v>
      </c>
      <c r="G14" s="38" t="str">
        <f>A16</f>
        <v>Epic</v>
      </c>
      <c r="H14" s="44">
        <f>C16</f>
        <v>0.2</v>
      </c>
    </row>
    <row r="15" spans="1:8" ht="17" x14ac:dyDescent="0.2">
      <c r="A15" s="25" t="str">
        <f>INDEX(tblRarityConfig[Rarity],2)</f>
        <v>Rare</v>
      </c>
      <c r="B15" s="32">
        <f>INDEX(tblRarityConfig[Drop Probability],2)</f>
        <v>0.25</v>
      </c>
      <c r="C15" s="41">
        <f>B15*$B$4</f>
        <v>1</v>
      </c>
      <c r="D15" s="32">
        <f>1-(1-B15)^$B$4</f>
        <v>0.68359375</v>
      </c>
      <c r="E15" s="32">
        <f>(1-B15)^$B$4</f>
        <v>0.31640625</v>
      </c>
      <c r="G15" s="25" t="str">
        <f>A15</f>
        <v>Rare</v>
      </c>
      <c r="H15" s="33">
        <f>C15</f>
        <v>1</v>
      </c>
    </row>
    <row r="16" spans="1:8" ht="17" x14ac:dyDescent="0.2">
      <c r="A16" s="26" t="str">
        <f>INDEX(tblRarityConfig[Rarity],3)</f>
        <v>Epic</v>
      </c>
      <c r="B16" s="42">
        <f>INDEX(tblRarityConfig[Drop Probability],3)</f>
        <v>0.05</v>
      </c>
      <c r="C16" s="43">
        <f>B16*$B$4</f>
        <v>0.2</v>
      </c>
      <c r="D16" s="42">
        <f>1-(1-B16)^$B$4</f>
        <v>0.18549375000000001</v>
      </c>
      <c r="E16" s="42">
        <f>(1-B16)^$B$4</f>
        <v>0.81450624999999999</v>
      </c>
      <c r="G16" s="26" t="str">
        <f>A14</f>
        <v>Common</v>
      </c>
      <c r="H16" s="45">
        <f>C14</f>
        <v>2.8</v>
      </c>
    </row>
  </sheetData>
  <mergeCells count="1">
    <mergeCell ref="A1:H1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Overview</vt:lpstr>
      <vt:lpstr>Rarity_Config</vt:lpstr>
      <vt:lpstr>Card_List</vt:lpstr>
      <vt:lpstr>Pack_Config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Tamir Litbak</cp:lastModifiedBy>
  <dcterms:created xsi:type="dcterms:W3CDTF">2018-06-07T17:34:22Z</dcterms:created>
  <dcterms:modified xsi:type="dcterms:W3CDTF">2026-07-15T15:28:49Z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